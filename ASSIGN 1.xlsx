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17976bd757f41d8/Desktop/EXCEL/ASSIGNMENT/"/>
    </mc:Choice>
  </mc:AlternateContent>
  <xr:revisionPtr revIDLastSave="422" documentId="11_F25DC773A252ABDACC1048A8915E7CE05BDE58E1" xr6:coauthVersionLast="47" xr6:coauthVersionMax="47" xr10:uidLastSave="{6A288047-0C24-4A9C-8EAC-32FBC6B816F7}"/>
  <bookViews>
    <workbookView minimized="1" xWindow="12264" yWindow="2328" windowWidth="10920" windowHeight="10260" xr2:uid="{00000000-000D-0000-FFFF-FFFF00000000}"/>
  </bookViews>
  <sheets>
    <sheet name="Sheet1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4" i="1" l="1"/>
  <c r="A28" i="1"/>
  <c r="A18" i="1"/>
  <c r="E142" i="1"/>
  <c r="J81" i="1"/>
  <c r="J82" i="1"/>
  <c r="J83" i="1"/>
  <c r="J10" i="1"/>
  <c r="J11" i="1"/>
  <c r="J12" i="1"/>
  <c r="J13" i="1"/>
  <c r="J14" i="1"/>
  <c r="J15" i="1"/>
  <c r="J16" i="1"/>
  <c r="J17" i="1"/>
  <c r="J19" i="1"/>
  <c r="J20" i="1"/>
  <c r="J21" i="1"/>
  <c r="J22" i="1"/>
  <c r="J23" i="1"/>
  <c r="J24" i="1"/>
  <c r="J25" i="1"/>
  <c r="J26" i="1"/>
  <c r="J27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0" i="1"/>
  <c r="H91" i="1"/>
  <c r="H92" i="1"/>
  <c r="H93" i="1"/>
  <c r="H89" i="1"/>
</calcChain>
</file>

<file path=xl/sharedStrings.xml><?xml version="1.0" encoding="utf-8"?>
<sst xmlns="http://schemas.openxmlformats.org/spreadsheetml/2006/main" count="776" uniqueCount="125">
  <si>
    <t xml:space="preserve">Q2.You have the following dataset:
</t>
  </si>
  <si>
    <t>VEHICLE</t>
  </si>
  <si>
    <t>PRICE</t>
  </si>
  <si>
    <t>CAR</t>
  </si>
  <si>
    <t>BICYCLE</t>
  </si>
  <si>
    <t>AUTO RICKSHAW</t>
  </si>
  <si>
    <t>WRITE A FORMULA TO CALCULATE THE TOTAL SALES OF CAR AND BICYCLE ONLY ONLY.</t>
  </si>
  <si>
    <t>Q3. Using the data below, write a formula to calculate the average sales of items priced above 100 but less than 300</t>
  </si>
  <si>
    <t>ITEM</t>
  </si>
  <si>
    <t>SALES</t>
  </si>
  <si>
    <t xml:space="preserve">ITEM A </t>
  </si>
  <si>
    <t>ITEM B</t>
  </si>
  <si>
    <t>ITEM C</t>
  </si>
  <si>
    <t xml:space="preserve"> USING FORMULA - </t>
  </si>
  <si>
    <t>ANSWER:-</t>
  </si>
  <si>
    <t>Use the following Dataset and solve the following questions.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</si>
  <si>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</si>
  <si>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</si>
  <si>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</si>
  <si>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</si>
  <si>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</si>
  <si>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</si>
  <si>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</si>
  <si>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</si>
  <si>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</si>
  <si>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</si>
  <si>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</si>
  <si>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</si>
  <si>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</si>
  <si>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</si>
  <si>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</si>
  <si>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</si>
  <si>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</si>
  <si>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</si>
  <si>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</si>
  <si>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</si>
  <si>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</si>
  <si>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</si>
  <si>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</si>
  <si>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</si>
  <si>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</si>
  <si>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</si>
  <si>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</si>
  <si>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</si>
  <si>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</si>
  <si>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</si>
  <si>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</si>
  <si>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</si>
  <si>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</si>
  <si>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</si>
  <si>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</si>
  <si>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</si>
  <si>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</si>
  <si>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</si>
  <si>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</si>
  <si>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</si>
  <si>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</si>
  <si>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</si>
  <si>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</si>
  <si>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</si>
  <si>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</si>
  <si>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</si>
  <si>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</si>
  <si>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</si>
  <si>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</si>
  <si>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</si>
  <si>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</si>
  <si>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</si>
  <si>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</si>
  <si>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</si>
  <si>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</si>
  <si>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</si>
  <si>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</si>
  <si>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</si>
  <si>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</si>
  <si>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</si>
  <si>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</si>
  <si>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</si>
  <si>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</si>
  <si>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</si>
  <si>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</si>
  <si>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</si>
  <si>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</si>
  <si>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</si>
  <si>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</si>
  <si>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</si>
  <si>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</si>
  <si>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</si>
  <si>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</si>
  <si>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</si>
  <si>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</si>
  <si>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</si>
  <si>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</si>
  <si>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</si>
  <si>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</si>
  <si>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</si>
  <si>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</si>
  <si>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</si>
  <si>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</si>
  <si>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</si>
  <si>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</si>
  <si>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</si>
  <si>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</si>
  <si>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</si>
  <si>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</si>
  <si>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</si>
  <si>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</si>
  <si>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</si>
  <si>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Q4. Count how many customer names are recorded.</t>
  </si>
  <si>
    <t>Q5. Calculate the Total Sales for each row using a formula</t>
  </si>
  <si>
    <t xml:space="preserve">TOTAL SALES </t>
  </si>
  <si>
    <t>Q6. Calculate the total sales of Notebooks in the North region only</t>
  </si>
  <si>
    <t>Q7. Create a column chart showing total sales by product.</t>
  </si>
  <si>
    <t>Q8. Insert a line chart showing daily sales trend.</t>
  </si>
  <si>
    <t>Row Labels</t>
  </si>
  <si>
    <t>Grand Total</t>
  </si>
  <si>
    <t xml:space="preserve">Sum of TOTAL SALES </t>
  </si>
  <si>
    <t>=SUMIF(A10:A13,"CAR",B10:B13)+SUMIF(A10:A13,"BICYCLE",B10:B13)</t>
  </si>
  <si>
    <t>Relative Reference: Changes when copied (Example: A1)</t>
  </si>
  <si>
    <t>Absolute Reference: Does not change when copied (Example: $A$1)</t>
  </si>
  <si>
    <t>Mixed Reference: Either row or column fixed (Example: $A1 or A$1)</t>
  </si>
  <si>
    <t>=AVERAGEIFS(C23:C25,B23:B25,"&gt;100",B23:B25,"&lt;300")</t>
  </si>
  <si>
    <t>SUMIFS(H89:H138, C89:C138, "North", D89:D138, "Notebook")</t>
  </si>
  <si>
    <t>Q1. Difference between Relative, Absolute &amp; Mixed Cell</t>
  </si>
  <si>
    <t>=COUNTA(B32:B81)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</si>
</sst>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6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quotePrefix="1" applyFont="1"/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6" fontId="3" fillId="0" borderId="0" xfId="0" applyNumberFormat="1" applyFont="1" applyAlignment="1">
      <alignment vertical="center"/>
    </xf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2" fillId="2" borderId="0" xfId="0" quotePrefix="1" applyFont="1" applyFill="1"/>
    <xf numFmtId="0" fontId="4" fillId="2" borderId="0" xfId="0" applyFont="1" applyFill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0" fontId="3" fillId="0" borderId="1" xfId="0" applyFont="1" applyBorder="1" applyAlignment="1">
      <alignment horizontal="right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1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DAILY</a:t>
            </a:r>
            <a:r>
              <a:rPr lang="en-US" baseline="0">
                <a:solidFill>
                  <a:srgbClr val="FF0000"/>
                </a:solidFill>
              </a:rPr>
              <a:t> SALES TREND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Sheet1!$H$201</c:f>
              <c:strCache>
                <c:ptCount val="1"/>
                <c:pt idx="0">
                  <c:v>TOTAL 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Sheet1!$G$202:$G$251</c:f>
              <c:strCache>
                <c:ptCount val="50"/>
                <c:pt idx="0">
                  <c:v>01-05-2024</c:v>
                </c:pt>
                <c:pt idx="1">
                  <c:v>01-06-2024</c:v>
                </c:pt>
                <c:pt idx="2">
                  <c:v>01-07-2024</c:v>
                </c:pt>
                <c:pt idx="3">
                  <c:v>01-08-2024</c:v>
                </c:pt>
                <c:pt idx="4">
                  <c:v>01-10-2024</c:v>
                </c:pt>
                <c:pt idx="5">
                  <c:v>01-11-2024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02-01-2024</c:v>
                </c:pt>
                <c:pt idx="20">
                  <c:v>02-02-2024</c:v>
                </c:pt>
                <c:pt idx="21">
                  <c:v>02-03-2024</c:v>
                </c:pt>
                <c:pt idx="22">
                  <c:v>02-04-2024</c:v>
                </c:pt>
                <c:pt idx="23">
                  <c:v>02-06-2024</c:v>
                </c:pt>
                <c:pt idx="24">
                  <c:v>02-07-2024</c:v>
                </c:pt>
                <c:pt idx="25">
                  <c:v>02-08-2024</c:v>
                </c:pt>
                <c:pt idx="26">
                  <c:v>02-09-2024</c:v>
                </c:pt>
                <c:pt idx="27">
                  <c:v>02-10-2024</c:v>
                </c:pt>
                <c:pt idx="28">
                  <c:v>02-12-2024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03-01-2024</c:v>
                </c:pt>
                <c:pt idx="43">
                  <c:v>03-02-2024</c:v>
                </c:pt>
                <c:pt idx="44">
                  <c:v>03-03-2024</c:v>
                </c:pt>
                <c:pt idx="45">
                  <c:v>03-04-2024</c:v>
                </c:pt>
                <c:pt idx="46">
                  <c:v>03-05-2024</c:v>
                </c:pt>
                <c:pt idx="47">
                  <c:v>03-06-2024</c:v>
                </c:pt>
                <c:pt idx="48">
                  <c:v>03-07-2024</c:v>
                </c:pt>
                <c:pt idx="49">
                  <c:v>03-08-2024</c:v>
                </c:pt>
              </c:strCache>
            </c:strRef>
          </c:cat>
          <c:val>
            <c:numRef>
              <c:f>Sheet1!$H$202:$H$251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2C-4DA6-BFD0-B975C327A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809104"/>
        <c:axId val="1338807184"/>
      </c:lineChart>
      <c:catAx>
        <c:axId val="133880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u="sng"/>
                  <a:t>ORDER DATES</a:t>
                </a:r>
                <a:r>
                  <a:rPr lang="en-IN" b="1" u="sng" baseline="0"/>
                  <a:t> </a:t>
                </a:r>
                <a:endParaRPr lang="en-IN" b="1" u="s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07184"/>
        <c:crosses val="autoZero"/>
        <c:auto val="1"/>
        <c:lblAlgn val="ctr"/>
        <c:lblOffset val="100"/>
        <c:noMultiLvlLbl val="0"/>
      </c:catAx>
      <c:valAx>
        <c:axId val="13388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</a:t>
                </a:r>
                <a:r>
                  <a:rPr lang="en-IN" b="1" baseline="0"/>
                  <a:t> SALES 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0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 1.xlsx]Sheet1!PivotTable4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Sheet1!$J$156:$J$161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Sheet1!$K$156:$K$161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0-41FE-BDEF-7BC357919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0480768"/>
        <c:axId val="1470483648"/>
      </c:barChart>
      <c:catAx>
        <c:axId val="147048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83648"/>
        <c:crosses val="autoZero"/>
        <c:auto val="1"/>
        <c:lblAlgn val="ctr"/>
        <c:lblOffset val="100"/>
        <c:noMultiLvlLbl val="0"/>
      </c:catAx>
      <c:valAx>
        <c:axId val="14704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8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</xdr:colOff>
      <xdr:row>201</xdr:row>
      <xdr:rowOff>7620</xdr:rowOff>
    </xdr:from>
    <xdr:to>
      <xdr:col>14</xdr:col>
      <xdr:colOff>45720</xdr:colOff>
      <xdr:row>217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E19697-F384-5D7C-D5D1-59F7B06F3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162</xdr:row>
      <xdr:rowOff>152400</xdr:rowOff>
    </xdr:from>
    <xdr:to>
      <xdr:col>15</xdr:col>
      <xdr:colOff>0</xdr:colOff>
      <xdr:row>177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B17B4B-1524-C5A6-4DD6-FF8EFDA0D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8.975640046294" createdVersion="8" refreshedVersion="8" minRefreshableVersion="3" recordCount="50" xr:uid="{C0990A39-B034-4FBD-B07C-B5E895EBC656}">
  <cacheSource type="worksheet">
    <worksheetSource ref="A146:H196" sheet="Sheet1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Date="1" containsMixedTypes="1" minDate="2024-01-02T00:00:00" maxDate="2024-12-03T00:00:00"/>
    </cacheField>
    <cacheField name="TOTAL SALES 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5-01T00:00:00"/>
    <n v="500"/>
  </r>
  <r>
    <n v="1002"/>
    <s v="Neha Verma"/>
    <s v="South"/>
    <x v="1"/>
    <n v="20"/>
    <n v="10"/>
    <d v="2024-06-01T00:00:00"/>
    <n v="200"/>
  </r>
  <r>
    <n v="1003"/>
    <s v="Rahul Singh"/>
    <s v="East"/>
    <x v="2"/>
    <n v="15"/>
    <n v="25"/>
    <d v="2024-07-01T00:00:00"/>
    <n v="375"/>
  </r>
  <r>
    <n v="1004"/>
    <s v="Pooja Mehta"/>
    <s v="West"/>
    <x v="0"/>
    <n v="5"/>
    <n v="50"/>
    <d v="2024-08-01T00:00:00"/>
    <n v="250"/>
  </r>
  <r>
    <n v="1005"/>
    <s v="Ankit Jain"/>
    <s v="North"/>
    <x v="3"/>
    <n v="30"/>
    <n v="5"/>
    <d v="2024-10-01T00:00:00"/>
    <n v="150"/>
  </r>
  <r>
    <n v="1006"/>
    <s v="Sneha Patel"/>
    <s v="South"/>
    <x v="0"/>
    <n v="12"/>
    <n v="50"/>
    <d v="2024-11-01T00:00:00"/>
    <n v="600"/>
  </r>
  <r>
    <n v="1007"/>
    <s v="Vikas Gupta"/>
    <s v="East"/>
    <x v="4"/>
    <n v="25"/>
    <n v="8"/>
    <s v="13-01-2024"/>
    <n v="200"/>
  </r>
  <r>
    <n v="1008"/>
    <s v="Meera Nair"/>
    <s v="West"/>
    <x v="1"/>
    <n v="18"/>
    <n v="10"/>
    <s v="15-01-2024"/>
    <n v="180"/>
  </r>
  <r>
    <n v="1009"/>
    <s v="Anjali Rao"/>
    <s v="North"/>
    <x v="2"/>
    <n v="22"/>
    <n v="25"/>
    <s v="17-01-2024"/>
    <n v="550"/>
  </r>
  <r>
    <n v="1010"/>
    <s v="Manoj Das"/>
    <s v="South"/>
    <x v="0"/>
    <n v="8"/>
    <n v="50"/>
    <s v="18-01-2024"/>
    <n v="400"/>
  </r>
  <r>
    <n v="1011"/>
    <s v="Ritika Sen"/>
    <s v="East"/>
    <x v="3"/>
    <n v="40"/>
    <n v="5"/>
    <s v="19-01-2024"/>
    <n v="200"/>
  </r>
  <r>
    <n v="1012"/>
    <s v="Karan Malhotra"/>
    <s v="West"/>
    <x v="4"/>
    <n v="35"/>
    <n v="8"/>
    <s v="20-01-2024"/>
    <n v="280"/>
  </r>
  <r>
    <n v="1013"/>
    <s v="Aryan Joshi"/>
    <s v="North"/>
    <x v="0"/>
    <n v="14"/>
    <n v="50"/>
    <s v="22-01-2024"/>
    <n v="700"/>
  </r>
  <r>
    <n v="1014"/>
    <s v="Divya Kapoor"/>
    <s v="South"/>
    <x v="1"/>
    <n v="28"/>
    <n v="10"/>
    <s v="23-01-2024"/>
    <n v="280"/>
  </r>
  <r>
    <n v="1015"/>
    <s v="Sahil Arora"/>
    <s v="East"/>
    <x v="2"/>
    <n v="12"/>
    <n v="25"/>
    <s v="24-01-2024"/>
    <n v="300"/>
  </r>
  <r>
    <n v="1016"/>
    <s v="Muskan Jain"/>
    <s v="West"/>
    <x v="3"/>
    <n v="25"/>
    <n v="5"/>
    <s v="26-01-2024"/>
    <n v="125"/>
  </r>
  <r>
    <n v="1017"/>
    <s v="Rohan Gupta"/>
    <s v="North"/>
    <x v="4"/>
    <n v="20"/>
    <n v="8"/>
    <s v="28-01-2024"/>
    <n v="160"/>
  </r>
  <r>
    <n v="1018"/>
    <s v="Nidhi Sharma"/>
    <s v="South"/>
    <x v="0"/>
    <n v="10"/>
    <n v="50"/>
    <s v="29-01-2024"/>
    <n v="500"/>
  </r>
  <r>
    <n v="1019"/>
    <s v="Tarun Verma"/>
    <s v="East"/>
    <x v="1"/>
    <n v="15"/>
    <n v="10"/>
    <s v="30-01-2024"/>
    <n v="150"/>
  </r>
  <r>
    <n v="1020"/>
    <s v="Simran Kaur"/>
    <s v="West"/>
    <x v="2"/>
    <n v="18"/>
    <n v="25"/>
    <d v="2024-01-02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3-02T00:00:00"/>
    <n v="175"/>
  </r>
  <r>
    <n v="1023"/>
    <s v="Aditya Singh"/>
    <s v="East"/>
    <x v="4"/>
    <n v="30"/>
    <n v="8"/>
    <d v="2024-04-02T00:00:00"/>
    <n v="240"/>
  </r>
  <r>
    <n v="1024"/>
    <s v="Shreya Nair"/>
    <s v="West"/>
    <x v="0"/>
    <n v="11"/>
    <n v="50"/>
    <d v="2024-06-02T00:00:00"/>
    <n v="550"/>
  </r>
  <r>
    <n v="1025"/>
    <s v="Sanjay Kumar"/>
    <s v="North"/>
    <x v="1"/>
    <n v="14"/>
    <n v="10"/>
    <d v="2024-07-02T00:00:00"/>
    <n v="140"/>
  </r>
  <r>
    <n v="1026"/>
    <s v="Aarti Sharma"/>
    <s v="South"/>
    <x v="2"/>
    <n v="16"/>
    <n v="25"/>
    <d v="2024-08-02T00:00:00"/>
    <n v="400"/>
  </r>
  <r>
    <n v="1027"/>
    <s v="Rajesh Patel"/>
    <s v="East"/>
    <x v="3"/>
    <n v="22"/>
    <n v="5"/>
    <d v="2024-09-02T00:00:00"/>
    <n v="110"/>
  </r>
  <r>
    <n v="1028"/>
    <s v="Preeti Joshi"/>
    <s v="West"/>
    <x v="4"/>
    <n v="27"/>
    <n v="8"/>
    <d v="2024-10-02T00:00:00"/>
    <n v="216"/>
  </r>
  <r>
    <n v="1029"/>
    <s v="Anurag Mishra"/>
    <s v="North"/>
    <x v="0"/>
    <n v="13"/>
    <n v="50"/>
    <d v="2024-12-02T00:00:00"/>
    <n v="650"/>
  </r>
  <r>
    <n v="1030"/>
    <s v="Sanya Kapoor"/>
    <s v="South"/>
    <x v="1"/>
    <n v="32"/>
    <n v="10"/>
    <s v="13-02-2024"/>
    <n v="320"/>
  </r>
  <r>
    <n v="1031"/>
    <s v="Harsh Yadav"/>
    <s v="East"/>
    <x v="2"/>
    <n v="10"/>
    <n v="25"/>
    <s v="14-02-2024"/>
    <n v="250"/>
  </r>
  <r>
    <n v="1032"/>
    <s v="Kajal Rani"/>
    <s v="West"/>
    <x v="3"/>
    <n v="18"/>
    <n v="5"/>
    <s v="16-02-2024"/>
    <n v="90"/>
  </r>
  <r>
    <n v="1033"/>
    <s v="Varun Sharma"/>
    <s v="North"/>
    <x v="4"/>
    <n v="22"/>
    <n v="8"/>
    <s v="17-02-2024"/>
    <n v="176"/>
  </r>
  <r>
    <n v="1034"/>
    <s v="Swati Arora"/>
    <s v="South"/>
    <x v="0"/>
    <n v="17"/>
    <n v="50"/>
    <s v="18-02-2024"/>
    <n v="850"/>
  </r>
  <r>
    <n v="1035"/>
    <s v="Akhil Jain"/>
    <s v="East"/>
    <x v="1"/>
    <n v="19"/>
    <n v="10"/>
    <s v="19-02-2024"/>
    <n v="190"/>
  </r>
  <r>
    <n v="1036"/>
    <s v="Priyanka Das"/>
    <s v="West"/>
    <x v="2"/>
    <n v="15"/>
    <n v="25"/>
    <s v="21-02-2024"/>
    <n v="375"/>
  </r>
  <r>
    <n v="1037"/>
    <s v="Ravi Nair"/>
    <s v="North"/>
    <x v="3"/>
    <n v="28"/>
    <n v="5"/>
    <s v="22-02-2024"/>
    <n v="140"/>
  </r>
  <r>
    <n v="1038"/>
    <s v="Komal Singh"/>
    <s v="South"/>
    <x v="4"/>
    <n v="24"/>
    <n v="8"/>
    <s v="23-02-2024"/>
    <n v="192"/>
  </r>
  <r>
    <n v="1039"/>
    <s v="Ayesha Khan"/>
    <s v="East"/>
    <x v="0"/>
    <n v="16"/>
    <n v="50"/>
    <s v="25-02-2024"/>
    <n v="800"/>
  </r>
  <r>
    <n v="1040"/>
    <s v="Arjun Mehta"/>
    <s v="West"/>
    <x v="1"/>
    <n v="27"/>
    <n v="10"/>
    <s v="26-02-2024"/>
    <n v="270"/>
  </r>
  <r>
    <n v="1041"/>
    <s v="Sonali Gupta"/>
    <s v="North"/>
    <x v="2"/>
    <n v="21"/>
    <n v="25"/>
    <s v="27-02-2024"/>
    <n v="525"/>
  </r>
  <r>
    <n v="1042"/>
    <s v="Neeraj Kapoor"/>
    <s v="South"/>
    <x v="3"/>
    <n v="30"/>
    <n v="5"/>
    <s v="28-02-2024"/>
    <n v="150"/>
  </r>
  <r>
    <n v="1043"/>
    <s v="Shruti Sharma"/>
    <s v="East"/>
    <x v="4"/>
    <n v="26"/>
    <n v="8"/>
    <d v="2024-01-03T00:00:00"/>
    <n v="208"/>
  </r>
  <r>
    <n v="1044"/>
    <s v="Yash Arora"/>
    <s v="West"/>
    <x v="0"/>
    <n v="14"/>
    <n v="50"/>
    <d v="2024-02-03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4-03T00:00:00"/>
    <n v="425"/>
  </r>
  <r>
    <n v="1047"/>
    <s v="Sonia Verma"/>
    <s v="East"/>
    <x v="3"/>
    <n v="19"/>
    <n v="5"/>
    <d v="2024-05-03T00:00:00"/>
    <n v="95"/>
  </r>
  <r>
    <n v="1048"/>
    <s v="Kunal Singh"/>
    <s v="West"/>
    <x v="4"/>
    <n v="32"/>
    <n v="8"/>
    <d v="2024-06-03T00:00:00"/>
    <n v="256"/>
  </r>
  <r>
    <n v="1049"/>
    <s v="Ritika Jain"/>
    <s v="North"/>
    <x v="0"/>
    <n v="12"/>
    <n v="50"/>
    <d v="2024-07-03T00:00:00"/>
    <n v="600"/>
  </r>
  <r>
    <n v="1050"/>
    <s v="Vivek Malhotra"/>
    <s v="South"/>
    <x v="1"/>
    <n v="25"/>
    <n v="10"/>
    <d v="2024-08-03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DDC1B-F6ED-4D1B-B6E7-26B1F3C918B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55:K161" firstHeaderRow="1" firstDataRow="1" firstDataCol="1"/>
  <pivotFields count="8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 " fld="7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2"/>
  <sheetViews>
    <sheetView tabSelected="1" workbookViewId="0">
      <selection activeCell="E1" sqref="E1"/>
    </sheetView>
  </sheetViews>
  <sheetFormatPr defaultRowHeight="15.6" x14ac:dyDescent="0.3"/>
  <cols>
    <col min="1" max="1" width="17" style="2" customWidth="1"/>
    <col min="2" max="2" width="17.44140625" style="2" bestFit="1" customWidth="1"/>
    <col min="3" max="3" width="9" style="2" bestFit="1" customWidth="1"/>
    <col min="4" max="4" width="16.5546875" style="2" customWidth="1"/>
    <col min="5" max="6" width="9" style="2" bestFit="1" customWidth="1"/>
    <col min="7" max="7" width="11.21875" style="2" bestFit="1" customWidth="1"/>
    <col min="8" max="8" width="12.5546875" style="2" bestFit="1" customWidth="1"/>
    <col min="9" max="9" width="8.88671875" style="2"/>
    <col min="10" max="10" width="12.5546875" style="2" bestFit="1" customWidth="1"/>
    <col min="11" max="11" width="19.21875" style="2" bestFit="1" customWidth="1"/>
    <col min="12" max="16384" width="8.88671875" style="2"/>
  </cols>
  <sheetData>
    <row r="1" spans="1:10" x14ac:dyDescent="0.3">
      <c r="A1" s="1" t="s">
        <v>123</v>
      </c>
      <c r="B1" s="1"/>
      <c r="C1" s="1"/>
      <c r="D1" s="1"/>
    </row>
    <row r="2" spans="1:10" x14ac:dyDescent="0.3">
      <c r="A2" s="13" t="s">
        <v>14</v>
      </c>
    </row>
    <row r="3" spans="1:10" x14ac:dyDescent="0.3">
      <c r="A3" s="4" t="s">
        <v>118</v>
      </c>
      <c r="B3" s="4"/>
      <c r="C3" s="4"/>
      <c r="D3" s="4"/>
      <c r="E3" s="4"/>
      <c r="F3" s="4"/>
      <c r="G3" s="4"/>
      <c r="H3" s="4"/>
      <c r="I3" s="4"/>
    </row>
    <row r="4" spans="1:10" x14ac:dyDescent="0.3">
      <c r="A4" s="4" t="s">
        <v>119</v>
      </c>
      <c r="B4" s="4"/>
      <c r="C4" s="4"/>
      <c r="D4" s="4"/>
      <c r="E4" s="4"/>
      <c r="F4" s="4"/>
      <c r="G4" s="4"/>
      <c r="H4" s="4"/>
      <c r="I4" s="4"/>
    </row>
    <row r="5" spans="1:10" x14ac:dyDescent="0.3">
      <c r="A5" s="4" t="s">
        <v>120</v>
      </c>
      <c r="B5" s="4"/>
      <c r="C5" s="4"/>
      <c r="D5" s="4"/>
      <c r="E5" s="4"/>
      <c r="F5" s="4"/>
      <c r="G5" s="4"/>
      <c r="H5" s="4"/>
      <c r="I5" s="4"/>
    </row>
    <row r="6" spans="1:10" x14ac:dyDescent="0.3">
      <c r="A6" s="4"/>
      <c r="B6" s="4"/>
      <c r="C6" s="4"/>
      <c r="D6" s="4"/>
      <c r="E6" s="4"/>
      <c r="F6" s="4"/>
      <c r="G6" s="4"/>
      <c r="H6" s="4"/>
      <c r="I6" s="4"/>
    </row>
    <row r="8" spans="1:10" ht="16.2" thickBot="1" x14ac:dyDescent="0.35"/>
    <row r="9" spans="1:10" x14ac:dyDescent="0.3">
      <c r="A9" s="5" t="s">
        <v>0</v>
      </c>
      <c r="B9" s="6"/>
      <c r="C9" s="1"/>
      <c r="D9" s="1"/>
      <c r="J9" s="9" t="str">
        <f ca="1">IF(_xlfn.ISFORMULA(A9), _xlfn.FORMULATEXT(A9), "")</f>
        <v/>
      </c>
    </row>
    <row r="10" spans="1:10" x14ac:dyDescent="0.3">
      <c r="A10" s="7" t="s">
        <v>1</v>
      </c>
      <c r="B10" s="7" t="s">
        <v>2</v>
      </c>
      <c r="C10" s="3"/>
      <c r="D10" s="3"/>
      <c r="J10" s="9" t="str">
        <f t="shared" ref="J10:J73" ca="1" si="0">IF(_xlfn.ISFORMULA(A10), _xlfn.FORMULATEXT(A10), "")</f>
        <v/>
      </c>
    </row>
    <row r="11" spans="1:10" x14ac:dyDescent="0.3">
      <c r="A11" s="8" t="s">
        <v>3</v>
      </c>
      <c r="B11" s="27">
        <v>500000</v>
      </c>
      <c r="C11" s="1"/>
      <c r="D11" s="1"/>
      <c r="J11" s="9" t="str">
        <f t="shared" ca="1" si="0"/>
        <v/>
      </c>
    </row>
    <row r="12" spans="1:10" x14ac:dyDescent="0.3">
      <c r="A12" s="8" t="s">
        <v>4</v>
      </c>
      <c r="B12" s="27">
        <v>10500</v>
      </c>
      <c r="C12" s="1"/>
      <c r="D12" s="1"/>
      <c r="J12" s="9" t="str">
        <f t="shared" ca="1" si="0"/>
        <v/>
      </c>
    </row>
    <row r="13" spans="1:10" ht="31.2" x14ac:dyDescent="0.3">
      <c r="A13" s="8" t="s">
        <v>5</v>
      </c>
      <c r="B13" s="27">
        <v>25000</v>
      </c>
      <c r="C13" s="1"/>
      <c r="D13" s="1"/>
      <c r="J13" s="9" t="str">
        <f t="shared" ca="1" si="0"/>
        <v/>
      </c>
    </row>
    <row r="14" spans="1:10" x14ac:dyDescent="0.3">
      <c r="A14" s="1" t="s">
        <v>6</v>
      </c>
      <c r="B14" s="1"/>
      <c r="C14" s="1"/>
      <c r="D14" s="1"/>
      <c r="J14" s="9" t="str">
        <f t="shared" ca="1" si="0"/>
        <v/>
      </c>
    </row>
    <row r="15" spans="1:10" x14ac:dyDescent="0.3">
      <c r="A15" s="1"/>
      <c r="J15" s="9" t="str">
        <f t="shared" ca="1" si="0"/>
        <v/>
      </c>
    </row>
    <row r="16" spans="1:10" x14ac:dyDescent="0.3">
      <c r="A16" s="13" t="s">
        <v>14</v>
      </c>
      <c r="J16" s="9" t="str">
        <f t="shared" ca="1" si="0"/>
        <v/>
      </c>
    </row>
    <row r="17" spans="1:10" x14ac:dyDescent="0.3">
      <c r="A17" s="10"/>
      <c r="B17" s="4"/>
      <c r="C17" s="4"/>
      <c r="D17" s="4"/>
      <c r="E17" s="4"/>
      <c r="F17" s="4"/>
      <c r="G17" s="4"/>
      <c r="H17" s="4"/>
      <c r="I17" s="4"/>
      <c r="J17" s="9" t="str">
        <f t="shared" ca="1" si="0"/>
        <v/>
      </c>
    </row>
    <row r="18" spans="1:10" x14ac:dyDescent="0.3">
      <c r="A18" s="4">
        <f>SUMIF(A10:A13,"CAR",B10:B13)+SUMIF(A10:A13,"BICYCLE",B10:B13)</f>
        <v>510500</v>
      </c>
      <c r="B18" s="4"/>
      <c r="C18" s="4"/>
      <c r="D18" s="4" t="s">
        <v>117</v>
      </c>
      <c r="E18" s="4"/>
      <c r="F18" s="4"/>
      <c r="G18" s="4"/>
      <c r="H18" s="4"/>
      <c r="I18" s="4"/>
      <c r="J18" s="9"/>
    </row>
    <row r="19" spans="1:10" x14ac:dyDescent="0.3">
      <c r="A19" s="11"/>
      <c r="J19" s="9" t="str">
        <f t="shared" ca="1" si="0"/>
        <v/>
      </c>
    </row>
    <row r="20" spans="1:10" x14ac:dyDescent="0.3">
      <c r="A20" s="1" t="s">
        <v>7</v>
      </c>
      <c r="J20" s="9" t="str">
        <f t="shared" ca="1" si="0"/>
        <v/>
      </c>
    </row>
    <row r="21" spans="1:10" x14ac:dyDescent="0.3">
      <c r="A21" s="12"/>
      <c r="J21" s="9" t="str">
        <f t="shared" ca="1" si="0"/>
        <v/>
      </c>
    </row>
    <row r="22" spans="1:10" x14ac:dyDescent="0.3">
      <c r="A22" s="2" t="s">
        <v>8</v>
      </c>
      <c r="B22" s="2" t="s">
        <v>2</v>
      </c>
      <c r="C22" s="2" t="s">
        <v>9</v>
      </c>
      <c r="J22" s="9" t="str">
        <f t="shared" ca="1" si="0"/>
        <v/>
      </c>
    </row>
    <row r="23" spans="1:10" x14ac:dyDescent="0.3">
      <c r="A23" s="11" t="s">
        <v>10</v>
      </c>
      <c r="B23" s="2">
        <v>90</v>
      </c>
      <c r="C23" s="2">
        <v>1000</v>
      </c>
      <c r="J23" s="9" t="str">
        <f t="shared" ca="1" si="0"/>
        <v/>
      </c>
    </row>
    <row r="24" spans="1:10" x14ac:dyDescent="0.3">
      <c r="A24" s="2" t="s">
        <v>11</v>
      </c>
      <c r="B24" s="2">
        <v>150</v>
      </c>
      <c r="C24" s="2">
        <v>1200</v>
      </c>
      <c r="J24" s="9" t="str">
        <f t="shared" ca="1" si="0"/>
        <v/>
      </c>
    </row>
    <row r="25" spans="1:10" x14ac:dyDescent="0.3">
      <c r="A25" s="2" t="s">
        <v>12</v>
      </c>
      <c r="B25" s="2">
        <v>250</v>
      </c>
      <c r="C25" s="2">
        <v>1500</v>
      </c>
      <c r="J25" s="9" t="str">
        <f t="shared" ca="1" si="0"/>
        <v/>
      </c>
    </row>
    <row r="26" spans="1:10" x14ac:dyDescent="0.3">
      <c r="J26" s="9" t="str">
        <f t="shared" ca="1" si="0"/>
        <v/>
      </c>
    </row>
    <row r="27" spans="1:10" x14ac:dyDescent="0.3">
      <c r="A27" s="13" t="s">
        <v>14</v>
      </c>
      <c r="J27" s="9" t="str">
        <f t="shared" ca="1" si="0"/>
        <v/>
      </c>
    </row>
    <row r="28" spans="1:10" x14ac:dyDescent="0.3">
      <c r="A28" s="4">
        <f>AVERAGEIFS(C23:C25,B23:B25,"&gt;100",B23:B25,"&lt;300")</f>
        <v>1350</v>
      </c>
      <c r="B28" s="4" t="s">
        <v>13</v>
      </c>
      <c r="C28" s="4"/>
      <c r="D28" s="4" t="s">
        <v>121</v>
      </c>
      <c r="E28" s="4"/>
      <c r="F28" s="4"/>
      <c r="G28" s="4"/>
      <c r="H28" s="4"/>
      <c r="J28" s="9"/>
    </row>
    <row r="29" spans="1:10" x14ac:dyDescent="0.3">
      <c r="J29" s="9" t="str">
        <f t="shared" ca="1" si="0"/>
        <v/>
      </c>
    </row>
    <row r="30" spans="1:10" x14ac:dyDescent="0.3">
      <c r="A30" s="1" t="s">
        <v>15</v>
      </c>
      <c r="J30" s="9" t="str">
        <f t="shared" ca="1" si="0"/>
        <v/>
      </c>
    </row>
    <row r="31" spans="1:10" x14ac:dyDescent="0.3">
      <c r="A31" s="14" t="s">
        <v>16</v>
      </c>
      <c r="B31" s="14" t="s">
        <v>17</v>
      </c>
      <c r="C31" s="14" t="s">
        <v>18</v>
      </c>
      <c r="D31" s="14" t="s">
        <v>19</v>
      </c>
      <c r="E31" s="14" t="s">
        <v>20</v>
      </c>
      <c r="F31" s="14" t="s">
        <v>21</v>
      </c>
      <c r="G31" s="14" t="s">
        <v>22</v>
      </c>
      <c r="H31" s="14"/>
      <c r="J31" s="9" t="str">
        <f t="shared" ca="1" si="0"/>
        <v/>
      </c>
    </row>
    <row r="32" spans="1:10" x14ac:dyDescent="0.3">
      <c r="A32" s="15">
        <v>1001</v>
      </c>
      <c r="B32" s="16" t="s">
        <v>23</v>
      </c>
      <c r="C32" s="16" t="s">
        <v>24</v>
      </c>
      <c r="D32" s="16" t="s">
        <v>25</v>
      </c>
      <c r="E32" s="15">
        <v>10</v>
      </c>
      <c r="F32" s="15">
        <v>50</v>
      </c>
      <c r="G32" s="17">
        <v>45413</v>
      </c>
      <c r="J32" s="9" t="str">
        <f t="shared" ca="1" si="0"/>
        <v/>
      </c>
    </row>
    <row r="33" spans="1:10" x14ac:dyDescent="0.3">
      <c r="A33" s="15">
        <v>1002</v>
      </c>
      <c r="B33" s="16" t="s">
        <v>26</v>
      </c>
      <c r="C33" s="16" t="s">
        <v>27</v>
      </c>
      <c r="D33" s="16" t="s">
        <v>28</v>
      </c>
      <c r="E33" s="15">
        <v>20</v>
      </c>
      <c r="F33" s="15">
        <v>10</v>
      </c>
      <c r="G33" s="17">
        <v>45444</v>
      </c>
      <c r="J33" s="9" t="str">
        <f t="shared" ca="1" si="0"/>
        <v/>
      </c>
    </row>
    <row r="34" spans="1:10" x14ac:dyDescent="0.3">
      <c r="A34" s="15">
        <v>1003</v>
      </c>
      <c r="B34" s="16" t="s">
        <v>29</v>
      </c>
      <c r="C34" s="16" t="s">
        <v>30</v>
      </c>
      <c r="D34" s="16" t="s">
        <v>31</v>
      </c>
      <c r="E34" s="15">
        <v>15</v>
      </c>
      <c r="F34" s="15">
        <v>25</v>
      </c>
      <c r="G34" s="17">
        <v>45474</v>
      </c>
      <c r="J34" s="9" t="str">
        <f t="shared" ca="1" si="0"/>
        <v/>
      </c>
    </row>
    <row r="35" spans="1:10" x14ac:dyDescent="0.3">
      <c r="A35" s="15">
        <v>1004</v>
      </c>
      <c r="B35" s="16" t="s">
        <v>32</v>
      </c>
      <c r="C35" s="16" t="s">
        <v>33</v>
      </c>
      <c r="D35" s="16" t="s">
        <v>25</v>
      </c>
      <c r="E35" s="15">
        <v>5</v>
      </c>
      <c r="F35" s="15">
        <v>50</v>
      </c>
      <c r="G35" s="17">
        <v>45505</v>
      </c>
      <c r="J35" s="9" t="str">
        <f t="shared" ca="1" si="0"/>
        <v/>
      </c>
    </row>
    <row r="36" spans="1:10" x14ac:dyDescent="0.3">
      <c r="A36" s="15">
        <v>1005</v>
      </c>
      <c r="B36" s="16" t="s">
        <v>34</v>
      </c>
      <c r="C36" s="16" t="s">
        <v>24</v>
      </c>
      <c r="D36" s="16" t="s">
        <v>35</v>
      </c>
      <c r="E36" s="15">
        <v>30</v>
      </c>
      <c r="F36" s="15">
        <v>5</v>
      </c>
      <c r="G36" s="17">
        <v>45566</v>
      </c>
      <c r="J36" s="9" t="str">
        <f t="shared" ca="1" si="0"/>
        <v/>
      </c>
    </row>
    <row r="37" spans="1:10" x14ac:dyDescent="0.3">
      <c r="A37" s="15">
        <v>1006</v>
      </c>
      <c r="B37" s="16" t="s">
        <v>36</v>
      </c>
      <c r="C37" s="16" t="s">
        <v>27</v>
      </c>
      <c r="D37" s="16" t="s">
        <v>25</v>
      </c>
      <c r="E37" s="15">
        <v>12</v>
      </c>
      <c r="F37" s="15">
        <v>50</v>
      </c>
      <c r="G37" s="17">
        <v>45597</v>
      </c>
      <c r="J37" s="9" t="str">
        <f t="shared" ca="1" si="0"/>
        <v/>
      </c>
    </row>
    <row r="38" spans="1:10" x14ac:dyDescent="0.3">
      <c r="A38" s="15">
        <v>1007</v>
      </c>
      <c r="B38" s="16" t="s">
        <v>37</v>
      </c>
      <c r="C38" s="16" t="s">
        <v>30</v>
      </c>
      <c r="D38" s="16" t="s">
        <v>38</v>
      </c>
      <c r="E38" s="15">
        <v>25</v>
      </c>
      <c r="F38" s="15">
        <v>8</v>
      </c>
      <c r="G38" s="15" t="s">
        <v>39</v>
      </c>
      <c r="J38" s="9" t="str">
        <f t="shared" ca="1" si="0"/>
        <v/>
      </c>
    </row>
    <row r="39" spans="1:10" x14ac:dyDescent="0.3">
      <c r="A39" s="15">
        <v>1008</v>
      </c>
      <c r="B39" s="16" t="s">
        <v>40</v>
      </c>
      <c r="C39" s="16" t="s">
        <v>33</v>
      </c>
      <c r="D39" s="16" t="s">
        <v>28</v>
      </c>
      <c r="E39" s="15">
        <v>18</v>
      </c>
      <c r="F39" s="15">
        <v>10</v>
      </c>
      <c r="G39" s="15" t="s">
        <v>41</v>
      </c>
      <c r="J39" s="9" t="str">
        <f t="shared" ca="1" si="0"/>
        <v/>
      </c>
    </row>
    <row r="40" spans="1:10" x14ac:dyDescent="0.3">
      <c r="A40" s="15">
        <v>1009</v>
      </c>
      <c r="B40" s="16" t="s">
        <v>42</v>
      </c>
      <c r="C40" s="16" t="s">
        <v>24</v>
      </c>
      <c r="D40" s="16" t="s">
        <v>31</v>
      </c>
      <c r="E40" s="15">
        <v>22</v>
      </c>
      <c r="F40" s="15">
        <v>25</v>
      </c>
      <c r="G40" s="15" t="s">
        <v>43</v>
      </c>
      <c r="J40" s="9" t="str">
        <f t="shared" ca="1" si="0"/>
        <v/>
      </c>
    </row>
    <row r="41" spans="1:10" x14ac:dyDescent="0.3">
      <c r="A41" s="15">
        <v>1010</v>
      </c>
      <c r="B41" s="16" t="s">
        <v>44</v>
      </c>
      <c r="C41" s="16" t="s">
        <v>27</v>
      </c>
      <c r="D41" s="16" t="s">
        <v>25</v>
      </c>
      <c r="E41" s="15">
        <v>8</v>
      </c>
      <c r="F41" s="15">
        <v>50</v>
      </c>
      <c r="G41" s="15" t="s">
        <v>45</v>
      </c>
      <c r="J41" s="9" t="str">
        <f t="shared" ca="1" si="0"/>
        <v/>
      </c>
    </row>
    <row r="42" spans="1:10" x14ac:dyDescent="0.3">
      <c r="A42" s="15">
        <v>1011</v>
      </c>
      <c r="B42" s="16" t="s">
        <v>46</v>
      </c>
      <c r="C42" s="16" t="s">
        <v>30</v>
      </c>
      <c r="D42" s="16" t="s">
        <v>35</v>
      </c>
      <c r="E42" s="15">
        <v>40</v>
      </c>
      <c r="F42" s="15">
        <v>5</v>
      </c>
      <c r="G42" s="15" t="s">
        <v>47</v>
      </c>
      <c r="J42" s="9" t="str">
        <f t="shared" ca="1" si="0"/>
        <v/>
      </c>
    </row>
    <row r="43" spans="1:10" x14ac:dyDescent="0.3">
      <c r="A43" s="15">
        <v>1012</v>
      </c>
      <c r="B43" s="16" t="s">
        <v>48</v>
      </c>
      <c r="C43" s="16" t="s">
        <v>33</v>
      </c>
      <c r="D43" s="16" t="s">
        <v>38</v>
      </c>
      <c r="E43" s="15">
        <v>35</v>
      </c>
      <c r="F43" s="15">
        <v>8</v>
      </c>
      <c r="G43" s="15" t="s">
        <v>49</v>
      </c>
      <c r="J43" s="9" t="str">
        <f t="shared" ca="1" si="0"/>
        <v/>
      </c>
    </row>
    <row r="44" spans="1:10" x14ac:dyDescent="0.3">
      <c r="A44" s="15">
        <v>1013</v>
      </c>
      <c r="B44" s="16" t="s">
        <v>50</v>
      </c>
      <c r="C44" s="16" t="s">
        <v>24</v>
      </c>
      <c r="D44" s="16" t="s">
        <v>25</v>
      </c>
      <c r="E44" s="15">
        <v>14</v>
      </c>
      <c r="F44" s="15">
        <v>50</v>
      </c>
      <c r="G44" s="15" t="s">
        <v>51</v>
      </c>
      <c r="J44" s="9" t="str">
        <f t="shared" ca="1" si="0"/>
        <v/>
      </c>
    </row>
    <row r="45" spans="1:10" x14ac:dyDescent="0.3">
      <c r="A45" s="15">
        <v>1014</v>
      </c>
      <c r="B45" s="16" t="s">
        <v>52</v>
      </c>
      <c r="C45" s="16" t="s">
        <v>27</v>
      </c>
      <c r="D45" s="16" t="s">
        <v>28</v>
      </c>
      <c r="E45" s="15">
        <v>28</v>
      </c>
      <c r="F45" s="15">
        <v>10</v>
      </c>
      <c r="G45" s="15" t="s">
        <v>53</v>
      </c>
      <c r="J45" s="9" t="str">
        <f t="shared" ca="1" si="0"/>
        <v/>
      </c>
    </row>
    <row r="46" spans="1:10" x14ac:dyDescent="0.3">
      <c r="A46" s="15">
        <v>1015</v>
      </c>
      <c r="B46" s="16" t="s">
        <v>54</v>
      </c>
      <c r="C46" s="16" t="s">
        <v>30</v>
      </c>
      <c r="D46" s="16" t="s">
        <v>31</v>
      </c>
      <c r="E46" s="15">
        <v>12</v>
      </c>
      <c r="F46" s="15">
        <v>25</v>
      </c>
      <c r="G46" s="15" t="s">
        <v>55</v>
      </c>
      <c r="J46" s="9" t="str">
        <f t="shared" ca="1" si="0"/>
        <v/>
      </c>
    </row>
    <row r="47" spans="1:10" x14ac:dyDescent="0.3">
      <c r="A47" s="15">
        <v>1016</v>
      </c>
      <c r="B47" s="16" t="s">
        <v>56</v>
      </c>
      <c r="C47" s="16" t="s">
        <v>33</v>
      </c>
      <c r="D47" s="16" t="s">
        <v>35</v>
      </c>
      <c r="E47" s="15">
        <v>25</v>
      </c>
      <c r="F47" s="15">
        <v>5</v>
      </c>
      <c r="G47" s="15" t="s">
        <v>57</v>
      </c>
      <c r="J47" s="9" t="str">
        <f t="shared" ca="1" si="0"/>
        <v/>
      </c>
    </row>
    <row r="48" spans="1:10" x14ac:dyDescent="0.3">
      <c r="A48" s="15">
        <v>1017</v>
      </c>
      <c r="B48" s="16" t="s">
        <v>58</v>
      </c>
      <c r="C48" s="16" t="s">
        <v>24</v>
      </c>
      <c r="D48" s="16" t="s">
        <v>38</v>
      </c>
      <c r="E48" s="15">
        <v>20</v>
      </c>
      <c r="F48" s="15">
        <v>8</v>
      </c>
      <c r="G48" s="15" t="s">
        <v>59</v>
      </c>
      <c r="J48" s="9" t="str">
        <f t="shared" ca="1" si="0"/>
        <v/>
      </c>
    </row>
    <row r="49" spans="1:10" x14ac:dyDescent="0.3">
      <c r="A49" s="15">
        <v>1018</v>
      </c>
      <c r="B49" s="16" t="s">
        <v>60</v>
      </c>
      <c r="C49" s="16" t="s">
        <v>27</v>
      </c>
      <c r="D49" s="16" t="s">
        <v>25</v>
      </c>
      <c r="E49" s="15">
        <v>10</v>
      </c>
      <c r="F49" s="15">
        <v>50</v>
      </c>
      <c r="G49" s="15" t="s">
        <v>61</v>
      </c>
      <c r="J49" s="9" t="str">
        <f t="shared" ca="1" si="0"/>
        <v/>
      </c>
    </row>
    <row r="50" spans="1:10" x14ac:dyDescent="0.3">
      <c r="A50" s="15">
        <v>1019</v>
      </c>
      <c r="B50" s="16" t="s">
        <v>62</v>
      </c>
      <c r="C50" s="16" t="s">
        <v>30</v>
      </c>
      <c r="D50" s="16" t="s">
        <v>28</v>
      </c>
      <c r="E50" s="15">
        <v>15</v>
      </c>
      <c r="F50" s="15">
        <v>10</v>
      </c>
      <c r="G50" s="15" t="s">
        <v>63</v>
      </c>
      <c r="J50" s="9" t="str">
        <f t="shared" ca="1" si="0"/>
        <v/>
      </c>
    </row>
    <row r="51" spans="1:10" x14ac:dyDescent="0.3">
      <c r="A51" s="15">
        <v>1020</v>
      </c>
      <c r="B51" s="16" t="s">
        <v>64</v>
      </c>
      <c r="C51" s="16" t="s">
        <v>33</v>
      </c>
      <c r="D51" s="16" t="s">
        <v>31</v>
      </c>
      <c r="E51" s="15">
        <v>18</v>
      </c>
      <c r="F51" s="15">
        <v>25</v>
      </c>
      <c r="G51" s="17">
        <v>45293</v>
      </c>
      <c r="J51" s="9" t="str">
        <f t="shared" ca="1" si="0"/>
        <v/>
      </c>
    </row>
    <row r="52" spans="1:10" x14ac:dyDescent="0.3">
      <c r="A52" s="15">
        <v>1021</v>
      </c>
      <c r="B52" s="16" t="s">
        <v>65</v>
      </c>
      <c r="C52" s="16" t="s">
        <v>24</v>
      </c>
      <c r="D52" s="16" t="s">
        <v>25</v>
      </c>
      <c r="E52" s="15">
        <v>9</v>
      </c>
      <c r="F52" s="15">
        <v>50</v>
      </c>
      <c r="G52" s="17">
        <v>45324</v>
      </c>
      <c r="J52" s="9" t="str">
        <f t="shared" ca="1" si="0"/>
        <v/>
      </c>
    </row>
    <row r="53" spans="1:10" x14ac:dyDescent="0.3">
      <c r="A53" s="15">
        <v>1022</v>
      </c>
      <c r="B53" s="16" t="s">
        <v>66</v>
      </c>
      <c r="C53" s="16" t="s">
        <v>27</v>
      </c>
      <c r="D53" s="16" t="s">
        <v>35</v>
      </c>
      <c r="E53" s="15">
        <v>35</v>
      </c>
      <c r="F53" s="15">
        <v>5</v>
      </c>
      <c r="G53" s="17">
        <v>45353</v>
      </c>
      <c r="J53" s="9" t="str">
        <f t="shared" ca="1" si="0"/>
        <v/>
      </c>
    </row>
    <row r="54" spans="1:10" x14ac:dyDescent="0.3">
      <c r="A54" s="15">
        <v>1023</v>
      </c>
      <c r="B54" s="16" t="s">
        <v>67</v>
      </c>
      <c r="C54" s="16" t="s">
        <v>30</v>
      </c>
      <c r="D54" s="16" t="s">
        <v>38</v>
      </c>
      <c r="E54" s="15">
        <v>30</v>
      </c>
      <c r="F54" s="15">
        <v>8</v>
      </c>
      <c r="G54" s="17">
        <v>45384</v>
      </c>
      <c r="J54" s="9" t="str">
        <f t="shared" ca="1" si="0"/>
        <v/>
      </c>
    </row>
    <row r="55" spans="1:10" x14ac:dyDescent="0.3">
      <c r="A55" s="15">
        <v>1024</v>
      </c>
      <c r="B55" s="16" t="s">
        <v>68</v>
      </c>
      <c r="C55" s="16" t="s">
        <v>33</v>
      </c>
      <c r="D55" s="16" t="s">
        <v>25</v>
      </c>
      <c r="E55" s="15">
        <v>11</v>
      </c>
      <c r="F55" s="15">
        <v>50</v>
      </c>
      <c r="G55" s="17">
        <v>45445</v>
      </c>
      <c r="J55" s="9" t="str">
        <f t="shared" ca="1" si="0"/>
        <v/>
      </c>
    </row>
    <row r="56" spans="1:10" x14ac:dyDescent="0.3">
      <c r="A56" s="15">
        <v>1025</v>
      </c>
      <c r="B56" s="16" t="s">
        <v>69</v>
      </c>
      <c r="C56" s="16" t="s">
        <v>24</v>
      </c>
      <c r="D56" s="16" t="s">
        <v>28</v>
      </c>
      <c r="E56" s="15">
        <v>14</v>
      </c>
      <c r="F56" s="15">
        <v>10</v>
      </c>
      <c r="G56" s="17">
        <v>45475</v>
      </c>
      <c r="J56" s="9" t="str">
        <f t="shared" ca="1" si="0"/>
        <v/>
      </c>
    </row>
    <row r="57" spans="1:10" x14ac:dyDescent="0.3">
      <c r="A57" s="15">
        <v>1026</v>
      </c>
      <c r="B57" s="16" t="s">
        <v>70</v>
      </c>
      <c r="C57" s="16" t="s">
        <v>27</v>
      </c>
      <c r="D57" s="16" t="s">
        <v>31</v>
      </c>
      <c r="E57" s="15">
        <v>16</v>
      </c>
      <c r="F57" s="15">
        <v>25</v>
      </c>
      <c r="G57" s="17">
        <v>45506</v>
      </c>
      <c r="J57" s="9" t="str">
        <f t="shared" ca="1" si="0"/>
        <v/>
      </c>
    </row>
    <row r="58" spans="1:10" x14ac:dyDescent="0.3">
      <c r="A58" s="15">
        <v>1027</v>
      </c>
      <c r="B58" s="16" t="s">
        <v>71</v>
      </c>
      <c r="C58" s="16" t="s">
        <v>30</v>
      </c>
      <c r="D58" s="16" t="s">
        <v>35</v>
      </c>
      <c r="E58" s="15">
        <v>22</v>
      </c>
      <c r="F58" s="15">
        <v>5</v>
      </c>
      <c r="G58" s="17">
        <v>45537</v>
      </c>
      <c r="J58" s="9" t="str">
        <f t="shared" ca="1" si="0"/>
        <v/>
      </c>
    </row>
    <row r="59" spans="1:10" x14ac:dyDescent="0.3">
      <c r="A59" s="15">
        <v>1028</v>
      </c>
      <c r="B59" s="16" t="s">
        <v>72</v>
      </c>
      <c r="C59" s="16" t="s">
        <v>33</v>
      </c>
      <c r="D59" s="16" t="s">
        <v>38</v>
      </c>
      <c r="E59" s="15">
        <v>27</v>
      </c>
      <c r="F59" s="15">
        <v>8</v>
      </c>
      <c r="G59" s="17">
        <v>45567</v>
      </c>
      <c r="J59" s="9" t="str">
        <f t="shared" ca="1" si="0"/>
        <v/>
      </c>
    </row>
    <row r="60" spans="1:10" x14ac:dyDescent="0.3">
      <c r="A60" s="15">
        <v>1029</v>
      </c>
      <c r="B60" s="16" t="s">
        <v>73</v>
      </c>
      <c r="C60" s="16" t="s">
        <v>24</v>
      </c>
      <c r="D60" s="16" t="s">
        <v>25</v>
      </c>
      <c r="E60" s="15">
        <v>13</v>
      </c>
      <c r="F60" s="15">
        <v>50</v>
      </c>
      <c r="G60" s="17">
        <v>45628</v>
      </c>
      <c r="J60" s="9" t="str">
        <f t="shared" ca="1" si="0"/>
        <v/>
      </c>
    </row>
    <row r="61" spans="1:10" x14ac:dyDescent="0.3">
      <c r="A61" s="15">
        <v>1030</v>
      </c>
      <c r="B61" s="16" t="s">
        <v>74</v>
      </c>
      <c r="C61" s="16" t="s">
        <v>27</v>
      </c>
      <c r="D61" s="16" t="s">
        <v>28</v>
      </c>
      <c r="E61" s="15">
        <v>32</v>
      </c>
      <c r="F61" s="15">
        <v>10</v>
      </c>
      <c r="G61" s="15" t="s">
        <v>75</v>
      </c>
      <c r="J61" s="9" t="str">
        <f t="shared" ca="1" si="0"/>
        <v/>
      </c>
    </row>
    <row r="62" spans="1:10" x14ac:dyDescent="0.3">
      <c r="A62" s="15">
        <v>1031</v>
      </c>
      <c r="B62" s="16" t="s">
        <v>76</v>
      </c>
      <c r="C62" s="16" t="s">
        <v>30</v>
      </c>
      <c r="D62" s="16" t="s">
        <v>31</v>
      </c>
      <c r="E62" s="15">
        <v>10</v>
      </c>
      <c r="F62" s="15">
        <v>25</v>
      </c>
      <c r="G62" s="15" t="s">
        <v>77</v>
      </c>
      <c r="J62" s="9" t="str">
        <f t="shared" ca="1" si="0"/>
        <v/>
      </c>
    </row>
    <row r="63" spans="1:10" x14ac:dyDescent="0.3">
      <c r="A63" s="15">
        <v>1032</v>
      </c>
      <c r="B63" s="16" t="s">
        <v>78</v>
      </c>
      <c r="C63" s="16" t="s">
        <v>33</v>
      </c>
      <c r="D63" s="16" t="s">
        <v>35</v>
      </c>
      <c r="E63" s="15">
        <v>18</v>
      </c>
      <c r="F63" s="15">
        <v>5</v>
      </c>
      <c r="G63" s="15" t="s">
        <v>79</v>
      </c>
      <c r="J63" s="9" t="str">
        <f t="shared" ca="1" si="0"/>
        <v/>
      </c>
    </row>
    <row r="64" spans="1:10" x14ac:dyDescent="0.3">
      <c r="A64" s="15">
        <v>1033</v>
      </c>
      <c r="B64" s="16" t="s">
        <v>80</v>
      </c>
      <c r="C64" s="16" t="s">
        <v>24</v>
      </c>
      <c r="D64" s="16" t="s">
        <v>38</v>
      </c>
      <c r="E64" s="15">
        <v>22</v>
      </c>
      <c r="F64" s="15">
        <v>8</v>
      </c>
      <c r="G64" s="15" t="s">
        <v>81</v>
      </c>
      <c r="J64" s="9" t="str">
        <f t="shared" ca="1" si="0"/>
        <v/>
      </c>
    </row>
    <row r="65" spans="1:10" x14ac:dyDescent="0.3">
      <c r="A65" s="15">
        <v>1034</v>
      </c>
      <c r="B65" s="16" t="s">
        <v>82</v>
      </c>
      <c r="C65" s="16" t="s">
        <v>27</v>
      </c>
      <c r="D65" s="16" t="s">
        <v>25</v>
      </c>
      <c r="E65" s="15">
        <v>17</v>
      </c>
      <c r="F65" s="15">
        <v>50</v>
      </c>
      <c r="G65" s="15" t="s">
        <v>83</v>
      </c>
      <c r="J65" s="9" t="str">
        <f t="shared" ca="1" si="0"/>
        <v/>
      </c>
    </row>
    <row r="66" spans="1:10" x14ac:dyDescent="0.3">
      <c r="A66" s="15">
        <v>1035</v>
      </c>
      <c r="B66" s="16" t="s">
        <v>84</v>
      </c>
      <c r="C66" s="16" t="s">
        <v>30</v>
      </c>
      <c r="D66" s="16" t="s">
        <v>28</v>
      </c>
      <c r="E66" s="15">
        <v>19</v>
      </c>
      <c r="F66" s="15">
        <v>10</v>
      </c>
      <c r="G66" s="15" t="s">
        <v>85</v>
      </c>
      <c r="J66" s="9" t="str">
        <f t="shared" ca="1" si="0"/>
        <v/>
      </c>
    </row>
    <row r="67" spans="1:10" x14ac:dyDescent="0.3">
      <c r="A67" s="15">
        <v>1036</v>
      </c>
      <c r="B67" s="16" t="s">
        <v>86</v>
      </c>
      <c r="C67" s="16" t="s">
        <v>33</v>
      </c>
      <c r="D67" s="16" t="s">
        <v>31</v>
      </c>
      <c r="E67" s="15">
        <v>15</v>
      </c>
      <c r="F67" s="15">
        <v>25</v>
      </c>
      <c r="G67" s="15" t="s">
        <v>87</v>
      </c>
      <c r="J67" s="9" t="str">
        <f t="shared" ca="1" si="0"/>
        <v/>
      </c>
    </row>
    <row r="68" spans="1:10" x14ac:dyDescent="0.3">
      <c r="A68" s="15">
        <v>1037</v>
      </c>
      <c r="B68" s="16" t="s">
        <v>88</v>
      </c>
      <c r="C68" s="16" t="s">
        <v>24</v>
      </c>
      <c r="D68" s="16" t="s">
        <v>35</v>
      </c>
      <c r="E68" s="15">
        <v>28</v>
      </c>
      <c r="F68" s="15">
        <v>5</v>
      </c>
      <c r="G68" s="15" t="s">
        <v>89</v>
      </c>
      <c r="J68" s="9" t="str">
        <f t="shared" ca="1" si="0"/>
        <v/>
      </c>
    </row>
    <row r="69" spans="1:10" x14ac:dyDescent="0.3">
      <c r="A69" s="15">
        <v>1038</v>
      </c>
      <c r="B69" s="16" t="s">
        <v>90</v>
      </c>
      <c r="C69" s="16" t="s">
        <v>27</v>
      </c>
      <c r="D69" s="16" t="s">
        <v>38</v>
      </c>
      <c r="E69" s="15">
        <v>24</v>
      </c>
      <c r="F69" s="15">
        <v>8</v>
      </c>
      <c r="G69" s="15" t="s">
        <v>91</v>
      </c>
      <c r="J69" s="9" t="str">
        <f t="shared" ca="1" si="0"/>
        <v/>
      </c>
    </row>
    <row r="70" spans="1:10" x14ac:dyDescent="0.3">
      <c r="A70" s="15">
        <v>1039</v>
      </c>
      <c r="B70" s="16" t="s">
        <v>92</v>
      </c>
      <c r="C70" s="16" t="s">
        <v>30</v>
      </c>
      <c r="D70" s="16" t="s">
        <v>25</v>
      </c>
      <c r="E70" s="15">
        <v>16</v>
      </c>
      <c r="F70" s="15">
        <v>50</v>
      </c>
      <c r="G70" s="15" t="s">
        <v>93</v>
      </c>
      <c r="J70" s="9" t="str">
        <f t="shared" ca="1" si="0"/>
        <v/>
      </c>
    </row>
    <row r="71" spans="1:10" x14ac:dyDescent="0.3">
      <c r="A71" s="15">
        <v>1040</v>
      </c>
      <c r="B71" s="16" t="s">
        <v>94</v>
      </c>
      <c r="C71" s="16" t="s">
        <v>33</v>
      </c>
      <c r="D71" s="16" t="s">
        <v>28</v>
      </c>
      <c r="E71" s="15">
        <v>27</v>
      </c>
      <c r="F71" s="15">
        <v>10</v>
      </c>
      <c r="G71" s="15" t="s">
        <v>95</v>
      </c>
      <c r="J71" s="9" t="str">
        <f t="shared" ca="1" si="0"/>
        <v/>
      </c>
    </row>
    <row r="72" spans="1:10" x14ac:dyDescent="0.3">
      <c r="A72" s="15">
        <v>1041</v>
      </c>
      <c r="B72" s="16" t="s">
        <v>96</v>
      </c>
      <c r="C72" s="16" t="s">
        <v>24</v>
      </c>
      <c r="D72" s="16" t="s">
        <v>31</v>
      </c>
      <c r="E72" s="15">
        <v>21</v>
      </c>
      <c r="F72" s="15">
        <v>25</v>
      </c>
      <c r="G72" s="15" t="s">
        <v>97</v>
      </c>
      <c r="J72" s="9" t="str">
        <f t="shared" ca="1" si="0"/>
        <v/>
      </c>
    </row>
    <row r="73" spans="1:10" x14ac:dyDescent="0.3">
      <c r="A73" s="15">
        <v>1042</v>
      </c>
      <c r="B73" s="16" t="s">
        <v>98</v>
      </c>
      <c r="C73" s="16" t="s">
        <v>27</v>
      </c>
      <c r="D73" s="16" t="s">
        <v>35</v>
      </c>
      <c r="E73" s="15">
        <v>30</v>
      </c>
      <c r="F73" s="15">
        <v>5</v>
      </c>
      <c r="G73" s="15" t="s">
        <v>99</v>
      </c>
      <c r="J73" s="9" t="str">
        <f t="shared" ca="1" si="0"/>
        <v/>
      </c>
    </row>
    <row r="74" spans="1:10" x14ac:dyDescent="0.3">
      <c r="A74" s="15">
        <v>1043</v>
      </c>
      <c r="B74" s="16" t="s">
        <v>100</v>
      </c>
      <c r="C74" s="16" t="s">
        <v>30</v>
      </c>
      <c r="D74" s="16" t="s">
        <v>38</v>
      </c>
      <c r="E74" s="15">
        <v>26</v>
      </c>
      <c r="F74" s="15">
        <v>8</v>
      </c>
      <c r="G74" s="17">
        <v>45294</v>
      </c>
      <c r="J74" s="9" t="str">
        <f t="shared" ref="J74:J137" ca="1" si="1">IF(_xlfn.ISFORMULA(A74), _xlfn.FORMULATEXT(A74), "")</f>
        <v/>
      </c>
    </row>
    <row r="75" spans="1:10" x14ac:dyDescent="0.3">
      <c r="A75" s="15">
        <v>1044</v>
      </c>
      <c r="B75" s="16" t="s">
        <v>101</v>
      </c>
      <c r="C75" s="16" t="s">
        <v>33</v>
      </c>
      <c r="D75" s="16" t="s">
        <v>25</v>
      </c>
      <c r="E75" s="15">
        <v>14</v>
      </c>
      <c r="F75" s="15">
        <v>50</v>
      </c>
      <c r="G75" s="17">
        <v>45325</v>
      </c>
      <c r="J75" s="9" t="str">
        <f t="shared" ca="1" si="1"/>
        <v/>
      </c>
    </row>
    <row r="76" spans="1:10" x14ac:dyDescent="0.3">
      <c r="A76" s="15">
        <v>1045</v>
      </c>
      <c r="B76" s="16" t="s">
        <v>102</v>
      </c>
      <c r="C76" s="16" t="s">
        <v>24</v>
      </c>
      <c r="D76" s="16" t="s">
        <v>28</v>
      </c>
      <c r="E76" s="15">
        <v>20</v>
      </c>
      <c r="F76" s="15">
        <v>10</v>
      </c>
      <c r="G76" s="17">
        <v>45354</v>
      </c>
      <c r="J76" s="9" t="str">
        <f t="shared" ca="1" si="1"/>
        <v/>
      </c>
    </row>
    <row r="77" spans="1:10" x14ac:dyDescent="0.3">
      <c r="A77" s="15">
        <v>1046</v>
      </c>
      <c r="B77" s="16" t="s">
        <v>103</v>
      </c>
      <c r="C77" s="16" t="s">
        <v>27</v>
      </c>
      <c r="D77" s="16" t="s">
        <v>31</v>
      </c>
      <c r="E77" s="15">
        <v>17</v>
      </c>
      <c r="F77" s="15">
        <v>25</v>
      </c>
      <c r="G77" s="17">
        <v>45385</v>
      </c>
      <c r="J77" s="9" t="str">
        <f t="shared" ca="1" si="1"/>
        <v/>
      </c>
    </row>
    <row r="78" spans="1:10" x14ac:dyDescent="0.3">
      <c r="A78" s="15">
        <v>1047</v>
      </c>
      <c r="B78" s="16" t="s">
        <v>104</v>
      </c>
      <c r="C78" s="16" t="s">
        <v>30</v>
      </c>
      <c r="D78" s="16" t="s">
        <v>35</v>
      </c>
      <c r="E78" s="15">
        <v>19</v>
      </c>
      <c r="F78" s="15">
        <v>5</v>
      </c>
      <c r="G78" s="17">
        <v>45415</v>
      </c>
      <c r="J78" s="9" t="str">
        <f t="shared" ca="1" si="1"/>
        <v/>
      </c>
    </row>
    <row r="79" spans="1:10" x14ac:dyDescent="0.3">
      <c r="A79" s="15">
        <v>1048</v>
      </c>
      <c r="B79" s="16" t="s">
        <v>105</v>
      </c>
      <c r="C79" s="16" t="s">
        <v>33</v>
      </c>
      <c r="D79" s="16" t="s">
        <v>38</v>
      </c>
      <c r="E79" s="15">
        <v>32</v>
      </c>
      <c r="F79" s="15">
        <v>8</v>
      </c>
      <c r="G79" s="17">
        <v>45446</v>
      </c>
      <c r="J79" s="9" t="str">
        <f t="shared" ca="1" si="1"/>
        <v/>
      </c>
    </row>
    <row r="80" spans="1:10" x14ac:dyDescent="0.3">
      <c r="A80" s="15">
        <v>1049</v>
      </c>
      <c r="B80" s="16" t="s">
        <v>106</v>
      </c>
      <c r="C80" s="16" t="s">
        <v>24</v>
      </c>
      <c r="D80" s="16" t="s">
        <v>25</v>
      </c>
      <c r="E80" s="15">
        <v>12</v>
      </c>
      <c r="F80" s="15">
        <v>50</v>
      </c>
      <c r="G80" s="17">
        <v>45476</v>
      </c>
      <c r="J80" s="9" t="str">
        <f t="shared" ca="1" si="1"/>
        <v/>
      </c>
    </row>
    <row r="81" spans="1:10" x14ac:dyDescent="0.3">
      <c r="A81" s="15">
        <v>1050</v>
      </c>
      <c r="B81" s="16" t="s">
        <v>107</v>
      </c>
      <c r="C81" s="16" t="s">
        <v>27</v>
      </c>
      <c r="D81" s="16" t="s">
        <v>28</v>
      </c>
      <c r="E81" s="15">
        <v>25</v>
      </c>
      <c r="F81" s="15">
        <v>10</v>
      </c>
      <c r="G81" s="17">
        <v>45507</v>
      </c>
      <c r="J81" s="9" t="str">
        <f t="shared" ca="1" si="1"/>
        <v/>
      </c>
    </row>
    <row r="82" spans="1:10" x14ac:dyDescent="0.3">
      <c r="J82" s="9" t="str">
        <f t="shared" ca="1" si="1"/>
        <v/>
      </c>
    </row>
    <row r="83" spans="1:10" x14ac:dyDescent="0.3">
      <c r="A83" s="1" t="s">
        <v>108</v>
      </c>
      <c r="B83" s="1"/>
      <c r="C83" s="1"/>
      <c r="J83" s="9" t="str">
        <f t="shared" ca="1" si="1"/>
        <v/>
      </c>
    </row>
    <row r="84" spans="1:10" x14ac:dyDescent="0.3">
      <c r="A84" s="4">
        <f>COUNTA(B32:B81)</f>
        <v>50</v>
      </c>
      <c r="B84" s="4"/>
      <c r="C84" s="4"/>
      <c r="D84" s="18"/>
      <c r="E84" s="4" t="s">
        <v>124</v>
      </c>
      <c r="F84" s="4"/>
      <c r="G84" s="4"/>
      <c r="H84" s="4"/>
      <c r="I84" s="4"/>
      <c r="J84" s="18"/>
    </row>
    <row r="85" spans="1:10" x14ac:dyDescent="0.3">
      <c r="A85" s="4"/>
      <c r="B85" s="4"/>
      <c r="C85" s="4"/>
      <c r="D85" s="4"/>
      <c r="E85" s="4"/>
      <c r="F85" s="4"/>
      <c r="G85" s="4"/>
      <c r="H85" s="4"/>
      <c r="I85" s="4"/>
      <c r="J85" s="18" t="str">
        <f t="shared" ca="1" si="1"/>
        <v/>
      </c>
    </row>
    <row r="86" spans="1:10" x14ac:dyDescent="0.3">
      <c r="A86" s="1" t="s">
        <v>109</v>
      </c>
      <c r="B86" s="1"/>
      <c r="C86" s="1"/>
      <c r="D86" s="1"/>
      <c r="J86" s="9" t="str">
        <f t="shared" ca="1" si="1"/>
        <v/>
      </c>
    </row>
    <row r="87" spans="1:10" x14ac:dyDescent="0.3">
      <c r="J87" s="9" t="str">
        <f t="shared" ca="1" si="1"/>
        <v/>
      </c>
    </row>
    <row r="88" spans="1:10" x14ac:dyDescent="0.3">
      <c r="A88" s="14" t="s">
        <v>16</v>
      </c>
      <c r="B88" s="14" t="s">
        <v>17</v>
      </c>
      <c r="C88" s="14" t="s">
        <v>18</v>
      </c>
      <c r="D88" s="14" t="s">
        <v>19</v>
      </c>
      <c r="E88" s="14" t="s">
        <v>20</v>
      </c>
      <c r="F88" s="14" t="s">
        <v>21</v>
      </c>
      <c r="G88" s="14" t="s">
        <v>22</v>
      </c>
      <c r="H88" s="19" t="s">
        <v>110</v>
      </c>
      <c r="I88" s="4"/>
      <c r="J88" s="9" t="str">
        <f t="shared" ca="1" si="1"/>
        <v/>
      </c>
    </row>
    <row r="89" spans="1:10" x14ac:dyDescent="0.3">
      <c r="A89" s="15">
        <v>1001</v>
      </c>
      <c r="B89" s="16" t="s">
        <v>23</v>
      </c>
      <c r="C89" s="16" t="s">
        <v>24</v>
      </c>
      <c r="D89" s="16" t="s">
        <v>25</v>
      </c>
      <c r="E89" s="15">
        <v>10</v>
      </c>
      <c r="F89" s="15">
        <v>50</v>
      </c>
      <c r="G89" s="17">
        <v>45413</v>
      </c>
      <c r="H89" s="4">
        <f>PRODUCT(E89,F89)</f>
        <v>500</v>
      </c>
      <c r="I89" s="4"/>
      <c r="J89" s="9" t="str">
        <f t="shared" ca="1" si="1"/>
        <v/>
      </c>
    </row>
    <row r="90" spans="1:10" x14ac:dyDescent="0.3">
      <c r="A90" s="15">
        <v>1002</v>
      </c>
      <c r="B90" s="16" t="s">
        <v>26</v>
      </c>
      <c r="C90" s="16" t="s">
        <v>27</v>
      </c>
      <c r="D90" s="16" t="s">
        <v>28</v>
      </c>
      <c r="E90" s="15">
        <v>20</v>
      </c>
      <c r="F90" s="15">
        <v>10</v>
      </c>
      <c r="G90" s="17">
        <v>45444</v>
      </c>
      <c r="H90" s="4">
        <f t="shared" ref="H90:H138" si="2">PRODUCT(E90,F90)</f>
        <v>200</v>
      </c>
      <c r="I90" s="4"/>
      <c r="J90" s="9" t="str">
        <f t="shared" ca="1" si="1"/>
        <v/>
      </c>
    </row>
    <row r="91" spans="1:10" x14ac:dyDescent="0.3">
      <c r="A91" s="15">
        <v>1003</v>
      </c>
      <c r="B91" s="16" t="s">
        <v>29</v>
      </c>
      <c r="C91" s="16" t="s">
        <v>30</v>
      </c>
      <c r="D91" s="16" t="s">
        <v>31</v>
      </c>
      <c r="E91" s="15">
        <v>15</v>
      </c>
      <c r="F91" s="15">
        <v>25</v>
      </c>
      <c r="G91" s="17">
        <v>45474</v>
      </c>
      <c r="H91" s="4">
        <f t="shared" si="2"/>
        <v>375</v>
      </c>
      <c r="I91" s="4"/>
      <c r="J91" s="9" t="str">
        <f t="shared" ca="1" si="1"/>
        <v/>
      </c>
    </row>
    <row r="92" spans="1:10" x14ac:dyDescent="0.3">
      <c r="A92" s="15">
        <v>1004</v>
      </c>
      <c r="B92" s="16" t="s">
        <v>32</v>
      </c>
      <c r="C92" s="16" t="s">
        <v>33</v>
      </c>
      <c r="D92" s="16" t="s">
        <v>25</v>
      </c>
      <c r="E92" s="15">
        <v>5</v>
      </c>
      <c r="F92" s="15">
        <v>50</v>
      </c>
      <c r="G92" s="17">
        <v>45505</v>
      </c>
      <c r="H92" s="4">
        <f t="shared" si="2"/>
        <v>250</v>
      </c>
      <c r="I92" s="4"/>
      <c r="J92" s="9" t="str">
        <f t="shared" ca="1" si="1"/>
        <v/>
      </c>
    </row>
    <row r="93" spans="1:10" x14ac:dyDescent="0.3">
      <c r="A93" s="15">
        <v>1005</v>
      </c>
      <c r="B93" s="16" t="s">
        <v>34</v>
      </c>
      <c r="C93" s="16" t="s">
        <v>24</v>
      </c>
      <c r="D93" s="16" t="s">
        <v>35</v>
      </c>
      <c r="E93" s="15">
        <v>30</v>
      </c>
      <c r="F93" s="15">
        <v>5</v>
      </c>
      <c r="G93" s="17">
        <v>45566</v>
      </c>
      <c r="H93" s="4">
        <f t="shared" si="2"/>
        <v>150</v>
      </c>
      <c r="I93" s="4"/>
      <c r="J93" s="9" t="str">
        <f t="shared" ca="1" si="1"/>
        <v/>
      </c>
    </row>
    <row r="94" spans="1:10" x14ac:dyDescent="0.3">
      <c r="A94" s="15">
        <v>1006</v>
      </c>
      <c r="B94" s="16" t="s">
        <v>36</v>
      </c>
      <c r="C94" s="16" t="s">
        <v>27</v>
      </c>
      <c r="D94" s="16" t="s">
        <v>25</v>
      </c>
      <c r="E94" s="15">
        <v>12</v>
      </c>
      <c r="F94" s="15">
        <v>50</v>
      </c>
      <c r="G94" s="17">
        <v>45597</v>
      </c>
      <c r="H94" s="4">
        <f t="shared" si="2"/>
        <v>600</v>
      </c>
      <c r="I94" s="4"/>
      <c r="J94" s="9" t="str">
        <f t="shared" ca="1" si="1"/>
        <v/>
      </c>
    </row>
    <row r="95" spans="1:10" x14ac:dyDescent="0.3">
      <c r="A95" s="15">
        <v>1007</v>
      </c>
      <c r="B95" s="16" t="s">
        <v>37</v>
      </c>
      <c r="C95" s="16" t="s">
        <v>30</v>
      </c>
      <c r="D95" s="16" t="s">
        <v>38</v>
      </c>
      <c r="E95" s="15">
        <v>25</v>
      </c>
      <c r="F95" s="15">
        <v>8</v>
      </c>
      <c r="G95" s="15" t="s">
        <v>39</v>
      </c>
      <c r="H95" s="4">
        <f t="shared" si="2"/>
        <v>200</v>
      </c>
      <c r="I95" s="4"/>
      <c r="J95" s="9" t="str">
        <f t="shared" ca="1" si="1"/>
        <v/>
      </c>
    </row>
    <row r="96" spans="1:10" x14ac:dyDescent="0.3">
      <c r="A96" s="15">
        <v>1008</v>
      </c>
      <c r="B96" s="16" t="s">
        <v>40</v>
      </c>
      <c r="C96" s="16" t="s">
        <v>33</v>
      </c>
      <c r="D96" s="16" t="s">
        <v>28</v>
      </c>
      <c r="E96" s="15">
        <v>18</v>
      </c>
      <c r="F96" s="15">
        <v>10</v>
      </c>
      <c r="G96" s="15" t="s">
        <v>41</v>
      </c>
      <c r="H96" s="4">
        <f t="shared" si="2"/>
        <v>180</v>
      </c>
      <c r="I96" s="4"/>
      <c r="J96" s="9" t="str">
        <f t="shared" ca="1" si="1"/>
        <v/>
      </c>
    </row>
    <row r="97" spans="1:10" x14ac:dyDescent="0.3">
      <c r="A97" s="15">
        <v>1009</v>
      </c>
      <c r="B97" s="16" t="s">
        <v>42</v>
      </c>
      <c r="C97" s="16" t="s">
        <v>24</v>
      </c>
      <c r="D97" s="16" t="s">
        <v>31</v>
      </c>
      <c r="E97" s="15">
        <v>22</v>
      </c>
      <c r="F97" s="15">
        <v>25</v>
      </c>
      <c r="G97" s="15" t="s">
        <v>43</v>
      </c>
      <c r="H97" s="4">
        <f t="shared" si="2"/>
        <v>550</v>
      </c>
      <c r="I97" s="4"/>
      <c r="J97" s="9" t="str">
        <f t="shared" ca="1" si="1"/>
        <v/>
      </c>
    </row>
    <row r="98" spans="1:10" x14ac:dyDescent="0.3">
      <c r="A98" s="15">
        <v>1010</v>
      </c>
      <c r="B98" s="16" t="s">
        <v>44</v>
      </c>
      <c r="C98" s="16" t="s">
        <v>27</v>
      </c>
      <c r="D98" s="16" t="s">
        <v>25</v>
      </c>
      <c r="E98" s="15">
        <v>8</v>
      </c>
      <c r="F98" s="15">
        <v>50</v>
      </c>
      <c r="G98" s="15" t="s">
        <v>45</v>
      </c>
      <c r="H98" s="4">
        <f t="shared" si="2"/>
        <v>400</v>
      </c>
      <c r="I98" s="4"/>
      <c r="J98" s="9" t="str">
        <f t="shared" ca="1" si="1"/>
        <v/>
      </c>
    </row>
    <row r="99" spans="1:10" x14ac:dyDescent="0.3">
      <c r="A99" s="15">
        <v>1011</v>
      </c>
      <c r="B99" s="16" t="s">
        <v>46</v>
      </c>
      <c r="C99" s="16" t="s">
        <v>30</v>
      </c>
      <c r="D99" s="16" t="s">
        <v>35</v>
      </c>
      <c r="E99" s="15">
        <v>40</v>
      </c>
      <c r="F99" s="15">
        <v>5</v>
      </c>
      <c r="G99" s="15" t="s">
        <v>47</v>
      </c>
      <c r="H99" s="4">
        <f t="shared" si="2"/>
        <v>200</v>
      </c>
      <c r="I99" s="4"/>
      <c r="J99" s="9" t="str">
        <f t="shared" ca="1" si="1"/>
        <v/>
      </c>
    </row>
    <row r="100" spans="1:10" x14ac:dyDescent="0.3">
      <c r="A100" s="15">
        <v>1012</v>
      </c>
      <c r="B100" s="16" t="s">
        <v>48</v>
      </c>
      <c r="C100" s="16" t="s">
        <v>33</v>
      </c>
      <c r="D100" s="16" t="s">
        <v>38</v>
      </c>
      <c r="E100" s="15">
        <v>35</v>
      </c>
      <c r="F100" s="15">
        <v>8</v>
      </c>
      <c r="G100" s="15" t="s">
        <v>49</v>
      </c>
      <c r="H100" s="4">
        <f t="shared" si="2"/>
        <v>280</v>
      </c>
      <c r="I100" s="4"/>
      <c r="J100" s="9" t="str">
        <f t="shared" ca="1" si="1"/>
        <v/>
      </c>
    </row>
    <row r="101" spans="1:10" x14ac:dyDescent="0.3">
      <c r="A101" s="15">
        <v>1013</v>
      </c>
      <c r="B101" s="16" t="s">
        <v>50</v>
      </c>
      <c r="C101" s="16" t="s">
        <v>24</v>
      </c>
      <c r="D101" s="16" t="s">
        <v>25</v>
      </c>
      <c r="E101" s="15">
        <v>14</v>
      </c>
      <c r="F101" s="15">
        <v>50</v>
      </c>
      <c r="G101" s="15" t="s">
        <v>51</v>
      </c>
      <c r="H101" s="4">
        <f t="shared" si="2"/>
        <v>700</v>
      </c>
      <c r="I101" s="4"/>
      <c r="J101" s="9" t="str">
        <f t="shared" ca="1" si="1"/>
        <v/>
      </c>
    </row>
    <row r="102" spans="1:10" x14ac:dyDescent="0.3">
      <c r="A102" s="15">
        <v>1014</v>
      </c>
      <c r="B102" s="16" t="s">
        <v>52</v>
      </c>
      <c r="C102" s="16" t="s">
        <v>27</v>
      </c>
      <c r="D102" s="16" t="s">
        <v>28</v>
      </c>
      <c r="E102" s="15">
        <v>28</v>
      </c>
      <c r="F102" s="15">
        <v>10</v>
      </c>
      <c r="G102" s="15" t="s">
        <v>53</v>
      </c>
      <c r="H102" s="4">
        <f t="shared" si="2"/>
        <v>280</v>
      </c>
      <c r="I102" s="4"/>
      <c r="J102" s="9" t="str">
        <f t="shared" ca="1" si="1"/>
        <v/>
      </c>
    </row>
    <row r="103" spans="1:10" x14ac:dyDescent="0.3">
      <c r="A103" s="15">
        <v>1015</v>
      </c>
      <c r="B103" s="16" t="s">
        <v>54</v>
      </c>
      <c r="C103" s="16" t="s">
        <v>30</v>
      </c>
      <c r="D103" s="16" t="s">
        <v>31</v>
      </c>
      <c r="E103" s="15">
        <v>12</v>
      </c>
      <c r="F103" s="15">
        <v>25</v>
      </c>
      <c r="G103" s="15" t="s">
        <v>55</v>
      </c>
      <c r="H103" s="4">
        <f t="shared" si="2"/>
        <v>300</v>
      </c>
      <c r="I103" s="4"/>
      <c r="J103" s="9" t="str">
        <f t="shared" ca="1" si="1"/>
        <v/>
      </c>
    </row>
    <row r="104" spans="1:10" x14ac:dyDescent="0.3">
      <c r="A104" s="15">
        <v>1016</v>
      </c>
      <c r="B104" s="16" t="s">
        <v>56</v>
      </c>
      <c r="C104" s="16" t="s">
        <v>33</v>
      </c>
      <c r="D104" s="16" t="s">
        <v>35</v>
      </c>
      <c r="E104" s="15">
        <v>25</v>
      </c>
      <c r="F104" s="15">
        <v>5</v>
      </c>
      <c r="G104" s="15" t="s">
        <v>57</v>
      </c>
      <c r="H104" s="4">
        <f t="shared" si="2"/>
        <v>125</v>
      </c>
      <c r="I104" s="4"/>
      <c r="J104" s="9" t="str">
        <f t="shared" ca="1" si="1"/>
        <v/>
      </c>
    </row>
    <row r="105" spans="1:10" x14ac:dyDescent="0.3">
      <c r="A105" s="15">
        <v>1017</v>
      </c>
      <c r="B105" s="16" t="s">
        <v>58</v>
      </c>
      <c r="C105" s="16" t="s">
        <v>24</v>
      </c>
      <c r="D105" s="16" t="s">
        <v>38</v>
      </c>
      <c r="E105" s="15">
        <v>20</v>
      </c>
      <c r="F105" s="15">
        <v>8</v>
      </c>
      <c r="G105" s="15" t="s">
        <v>59</v>
      </c>
      <c r="H105" s="4">
        <f t="shared" si="2"/>
        <v>160</v>
      </c>
      <c r="I105" s="4"/>
      <c r="J105" s="9" t="str">
        <f t="shared" ca="1" si="1"/>
        <v/>
      </c>
    </row>
    <row r="106" spans="1:10" x14ac:dyDescent="0.3">
      <c r="A106" s="15">
        <v>1018</v>
      </c>
      <c r="B106" s="16" t="s">
        <v>60</v>
      </c>
      <c r="C106" s="16" t="s">
        <v>27</v>
      </c>
      <c r="D106" s="16" t="s">
        <v>25</v>
      </c>
      <c r="E106" s="15">
        <v>10</v>
      </c>
      <c r="F106" s="15">
        <v>50</v>
      </c>
      <c r="G106" s="15" t="s">
        <v>61</v>
      </c>
      <c r="H106" s="4">
        <f t="shared" si="2"/>
        <v>500</v>
      </c>
      <c r="I106" s="4"/>
      <c r="J106" s="9" t="str">
        <f t="shared" ca="1" si="1"/>
        <v/>
      </c>
    </row>
    <row r="107" spans="1:10" x14ac:dyDescent="0.3">
      <c r="A107" s="15">
        <v>1019</v>
      </c>
      <c r="B107" s="16" t="s">
        <v>62</v>
      </c>
      <c r="C107" s="16" t="s">
        <v>30</v>
      </c>
      <c r="D107" s="16" t="s">
        <v>28</v>
      </c>
      <c r="E107" s="15">
        <v>15</v>
      </c>
      <c r="F107" s="15">
        <v>10</v>
      </c>
      <c r="G107" s="15" t="s">
        <v>63</v>
      </c>
      <c r="H107" s="4">
        <f t="shared" si="2"/>
        <v>150</v>
      </c>
      <c r="I107" s="4"/>
      <c r="J107" s="9" t="str">
        <f t="shared" ca="1" si="1"/>
        <v/>
      </c>
    </row>
    <row r="108" spans="1:10" x14ac:dyDescent="0.3">
      <c r="A108" s="15">
        <v>1020</v>
      </c>
      <c r="B108" s="16" t="s">
        <v>64</v>
      </c>
      <c r="C108" s="16" t="s">
        <v>33</v>
      </c>
      <c r="D108" s="16" t="s">
        <v>31</v>
      </c>
      <c r="E108" s="15">
        <v>18</v>
      </c>
      <c r="F108" s="15">
        <v>25</v>
      </c>
      <c r="G108" s="17">
        <v>45293</v>
      </c>
      <c r="H108" s="4">
        <f t="shared" si="2"/>
        <v>450</v>
      </c>
      <c r="I108" s="4"/>
      <c r="J108" s="9" t="str">
        <f t="shared" ca="1" si="1"/>
        <v/>
      </c>
    </row>
    <row r="109" spans="1:10" x14ac:dyDescent="0.3">
      <c r="A109" s="15">
        <v>1021</v>
      </c>
      <c r="B109" s="16" t="s">
        <v>65</v>
      </c>
      <c r="C109" s="16" t="s">
        <v>24</v>
      </c>
      <c r="D109" s="16" t="s">
        <v>25</v>
      </c>
      <c r="E109" s="15">
        <v>9</v>
      </c>
      <c r="F109" s="15">
        <v>50</v>
      </c>
      <c r="G109" s="17">
        <v>45324</v>
      </c>
      <c r="H109" s="4">
        <f t="shared" si="2"/>
        <v>450</v>
      </c>
      <c r="I109" s="4"/>
      <c r="J109" s="9" t="str">
        <f t="shared" ca="1" si="1"/>
        <v/>
      </c>
    </row>
    <row r="110" spans="1:10" x14ac:dyDescent="0.3">
      <c r="A110" s="15">
        <v>1022</v>
      </c>
      <c r="B110" s="16" t="s">
        <v>66</v>
      </c>
      <c r="C110" s="16" t="s">
        <v>27</v>
      </c>
      <c r="D110" s="16" t="s">
        <v>35</v>
      </c>
      <c r="E110" s="15">
        <v>35</v>
      </c>
      <c r="F110" s="15">
        <v>5</v>
      </c>
      <c r="G110" s="17">
        <v>45353</v>
      </c>
      <c r="H110" s="4">
        <f t="shared" si="2"/>
        <v>175</v>
      </c>
      <c r="I110" s="4"/>
      <c r="J110" s="9" t="str">
        <f t="shared" ca="1" si="1"/>
        <v/>
      </c>
    </row>
    <row r="111" spans="1:10" x14ac:dyDescent="0.3">
      <c r="A111" s="15">
        <v>1023</v>
      </c>
      <c r="B111" s="16" t="s">
        <v>67</v>
      </c>
      <c r="C111" s="16" t="s">
        <v>30</v>
      </c>
      <c r="D111" s="16" t="s">
        <v>38</v>
      </c>
      <c r="E111" s="15">
        <v>30</v>
      </c>
      <c r="F111" s="15">
        <v>8</v>
      </c>
      <c r="G111" s="17">
        <v>45384</v>
      </c>
      <c r="H111" s="4">
        <f t="shared" si="2"/>
        <v>240</v>
      </c>
      <c r="I111" s="4"/>
      <c r="J111" s="9" t="str">
        <f t="shared" ca="1" si="1"/>
        <v/>
      </c>
    </row>
    <row r="112" spans="1:10" x14ac:dyDescent="0.3">
      <c r="A112" s="15">
        <v>1024</v>
      </c>
      <c r="B112" s="16" t="s">
        <v>68</v>
      </c>
      <c r="C112" s="16" t="s">
        <v>33</v>
      </c>
      <c r="D112" s="16" t="s">
        <v>25</v>
      </c>
      <c r="E112" s="15">
        <v>11</v>
      </c>
      <c r="F112" s="15">
        <v>50</v>
      </c>
      <c r="G112" s="17">
        <v>45445</v>
      </c>
      <c r="H112" s="4">
        <f t="shared" si="2"/>
        <v>550</v>
      </c>
      <c r="I112" s="4"/>
      <c r="J112" s="9" t="str">
        <f t="shared" ca="1" si="1"/>
        <v/>
      </c>
    </row>
    <row r="113" spans="1:10" x14ac:dyDescent="0.3">
      <c r="A113" s="15">
        <v>1025</v>
      </c>
      <c r="B113" s="16" t="s">
        <v>69</v>
      </c>
      <c r="C113" s="16" t="s">
        <v>24</v>
      </c>
      <c r="D113" s="16" t="s">
        <v>28</v>
      </c>
      <c r="E113" s="15">
        <v>14</v>
      </c>
      <c r="F113" s="15">
        <v>10</v>
      </c>
      <c r="G113" s="17">
        <v>45475</v>
      </c>
      <c r="H113" s="4">
        <f t="shared" si="2"/>
        <v>140</v>
      </c>
      <c r="I113" s="4"/>
      <c r="J113" s="9" t="str">
        <f t="shared" ca="1" si="1"/>
        <v/>
      </c>
    </row>
    <row r="114" spans="1:10" x14ac:dyDescent="0.3">
      <c r="A114" s="15">
        <v>1026</v>
      </c>
      <c r="B114" s="16" t="s">
        <v>70</v>
      </c>
      <c r="C114" s="16" t="s">
        <v>27</v>
      </c>
      <c r="D114" s="16" t="s">
        <v>31</v>
      </c>
      <c r="E114" s="15">
        <v>16</v>
      </c>
      <c r="F114" s="15">
        <v>25</v>
      </c>
      <c r="G114" s="17">
        <v>45506</v>
      </c>
      <c r="H114" s="4">
        <f t="shared" si="2"/>
        <v>400</v>
      </c>
      <c r="I114" s="4"/>
      <c r="J114" s="9" t="str">
        <f t="shared" ca="1" si="1"/>
        <v/>
      </c>
    </row>
    <row r="115" spans="1:10" x14ac:dyDescent="0.3">
      <c r="A115" s="15">
        <v>1027</v>
      </c>
      <c r="B115" s="16" t="s">
        <v>71</v>
      </c>
      <c r="C115" s="16" t="s">
        <v>30</v>
      </c>
      <c r="D115" s="16" t="s">
        <v>35</v>
      </c>
      <c r="E115" s="15">
        <v>22</v>
      </c>
      <c r="F115" s="15">
        <v>5</v>
      </c>
      <c r="G115" s="17">
        <v>45537</v>
      </c>
      <c r="H115" s="4">
        <f t="shared" si="2"/>
        <v>110</v>
      </c>
      <c r="I115" s="4"/>
      <c r="J115" s="9" t="str">
        <f t="shared" ca="1" si="1"/>
        <v/>
      </c>
    </row>
    <row r="116" spans="1:10" x14ac:dyDescent="0.3">
      <c r="A116" s="15">
        <v>1028</v>
      </c>
      <c r="B116" s="16" t="s">
        <v>72</v>
      </c>
      <c r="C116" s="16" t="s">
        <v>33</v>
      </c>
      <c r="D116" s="16" t="s">
        <v>38</v>
      </c>
      <c r="E116" s="15">
        <v>27</v>
      </c>
      <c r="F116" s="15">
        <v>8</v>
      </c>
      <c r="G116" s="17">
        <v>45567</v>
      </c>
      <c r="H116" s="4">
        <f t="shared" si="2"/>
        <v>216</v>
      </c>
      <c r="I116" s="4"/>
      <c r="J116" s="9" t="str">
        <f t="shared" ca="1" si="1"/>
        <v/>
      </c>
    </row>
    <row r="117" spans="1:10" x14ac:dyDescent="0.3">
      <c r="A117" s="15">
        <v>1029</v>
      </c>
      <c r="B117" s="16" t="s">
        <v>73</v>
      </c>
      <c r="C117" s="16" t="s">
        <v>24</v>
      </c>
      <c r="D117" s="16" t="s">
        <v>25</v>
      </c>
      <c r="E117" s="15">
        <v>13</v>
      </c>
      <c r="F117" s="15">
        <v>50</v>
      </c>
      <c r="G117" s="17">
        <v>45628</v>
      </c>
      <c r="H117" s="4">
        <f t="shared" si="2"/>
        <v>650</v>
      </c>
      <c r="I117" s="4"/>
      <c r="J117" s="9" t="str">
        <f t="shared" ca="1" si="1"/>
        <v/>
      </c>
    </row>
    <row r="118" spans="1:10" x14ac:dyDescent="0.3">
      <c r="A118" s="15">
        <v>1030</v>
      </c>
      <c r="B118" s="16" t="s">
        <v>74</v>
      </c>
      <c r="C118" s="16" t="s">
        <v>27</v>
      </c>
      <c r="D118" s="16" t="s">
        <v>28</v>
      </c>
      <c r="E118" s="15">
        <v>32</v>
      </c>
      <c r="F118" s="15">
        <v>10</v>
      </c>
      <c r="G118" s="15" t="s">
        <v>75</v>
      </c>
      <c r="H118" s="4">
        <f t="shared" si="2"/>
        <v>320</v>
      </c>
      <c r="I118" s="4"/>
      <c r="J118" s="9" t="str">
        <f t="shared" ca="1" si="1"/>
        <v/>
      </c>
    </row>
    <row r="119" spans="1:10" x14ac:dyDescent="0.3">
      <c r="A119" s="15">
        <v>1031</v>
      </c>
      <c r="B119" s="16" t="s">
        <v>76</v>
      </c>
      <c r="C119" s="16" t="s">
        <v>30</v>
      </c>
      <c r="D119" s="16" t="s">
        <v>31</v>
      </c>
      <c r="E119" s="15">
        <v>10</v>
      </c>
      <c r="F119" s="15">
        <v>25</v>
      </c>
      <c r="G119" s="15" t="s">
        <v>77</v>
      </c>
      <c r="H119" s="4">
        <f t="shared" si="2"/>
        <v>250</v>
      </c>
      <c r="I119" s="4"/>
      <c r="J119" s="9" t="str">
        <f t="shared" ca="1" si="1"/>
        <v/>
      </c>
    </row>
    <row r="120" spans="1:10" x14ac:dyDescent="0.3">
      <c r="A120" s="15">
        <v>1032</v>
      </c>
      <c r="B120" s="16" t="s">
        <v>78</v>
      </c>
      <c r="C120" s="16" t="s">
        <v>33</v>
      </c>
      <c r="D120" s="16" t="s">
        <v>35</v>
      </c>
      <c r="E120" s="15">
        <v>18</v>
      </c>
      <c r="F120" s="15">
        <v>5</v>
      </c>
      <c r="G120" s="15" t="s">
        <v>79</v>
      </c>
      <c r="H120" s="4">
        <f t="shared" si="2"/>
        <v>90</v>
      </c>
      <c r="I120" s="4"/>
      <c r="J120" s="9" t="str">
        <f t="shared" ca="1" si="1"/>
        <v/>
      </c>
    </row>
    <row r="121" spans="1:10" x14ac:dyDescent="0.3">
      <c r="A121" s="15">
        <v>1033</v>
      </c>
      <c r="B121" s="16" t="s">
        <v>80</v>
      </c>
      <c r="C121" s="16" t="s">
        <v>24</v>
      </c>
      <c r="D121" s="16" t="s">
        <v>38</v>
      </c>
      <c r="E121" s="15">
        <v>22</v>
      </c>
      <c r="F121" s="15">
        <v>8</v>
      </c>
      <c r="G121" s="15" t="s">
        <v>81</v>
      </c>
      <c r="H121" s="4">
        <f t="shared" si="2"/>
        <v>176</v>
      </c>
      <c r="I121" s="4"/>
      <c r="J121" s="9" t="str">
        <f t="shared" ca="1" si="1"/>
        <v/>
      </c>
    </row>
    <row r="122" spans="1:10" x14ac:dyDescent="0.3">
      <c r="A122" s="15">
        <v>1034</v>
      </c>
      <c r="B122" s="16" t="s">
        <v>82</v>
      </c>
      <c r="C122" s="16" t="s">
        <v>27</v>
      </c>
      <c r="D122" s="16" t="s">
        <v>25</v>
      </c>
      <c r="E122" s="15">
        <v>17</v>
      </c>
      <c r="F122" s="15">
        <v>50</v>
      </c>
      <c r="G122" s="15" t="s">
        <v>83</v>
      </c>
      <c r="H122" s="4">
        <f t="shared" si="2"/>
        <v>850</v>
      </c>
      <c r="I122" s="4"/>
      <c r="J122" s="9" t="str">
        <f t="shared" ca="1" si="1"/>
        <v/>
      </c>
    </row>
    <row r="123" spans="1:10" x14ac:dyDescent="0.3">
      <c r="A123" s="15">
        <v>1035</v>
      </c>
      <c r="B123" s="16" t="s">
        <v>84</v>
      </c>
      <c r="C123" s="16" t="s">
        <v>30</v>
      </c>
      <c r="D123" s="16" t="s">
        <v>28</v>
      </c>
      <c r="E123" s="15">
        <v>19</v>
      </c>
      <c r="F123" s="15">
        <v>10</v>
      </c>
      <c r="G123" s="15" t="s">
        <v>85</v>
      </c>
      <c r="H123" s="4">
        <f t="shared" si="2"/>
        <v>190</v>
      </c>
      <c r="I123" s="4"/>
      <c r="J123" s="9" t="str">
        <f t="shared" ca="1" si="1"/>
        <v/>
      </c>
    </row>
    <row r="124" spans="1:10" x14ac:dyDescent="0.3">
      <c r="A124" s="15">
        <v>1036</v>
      </c>
      <c r="B124" s="16" t="s">
        <v>86</v>
      </c>
      <c r="C124" s="16" t="s">
        <v>33</v>
      </c>
      <c r="D124" s="16" t="s">
        <v>31</v>
      </c>
      <c r="E124" s="15">
        <v>15</v>
      </c>
      <c r="F124" s="15">
        <v>25</v>
      </c>
      <c r="G124" s="15" t="s">
        <v>87</v>
      </c>
      <c r="H124" s="4">
        <f t="shared" si="2"/>
        <v>375</v>
      </c>
      <c r="I124" s="4"/>
      <c r="J124" s="9" t="str">
        <f t="shared" ca="1" si="1"/>
        <v/>
      </c>
    </row>
    <row r="125" spans="1:10" x14ac:dyDescent="0.3">
      <c r="A125" s="15">
        <v>1037</v>
      </c>
      <c r="B125" s="16" t="s">
        <v>88</v>
      </c>
      <c r="C125" s="16" t="s">
        <v>24</v>
      </c>
      <c r="D125" s="16" t="s">
        <v>35</v>
      </c>
      <c r="E125" s="15">
        <v>28</v>
      </c>
      <c r="F125" s="15">
        <v>5</v>
      </c>
      <c r="G125" s="15" t="s">
        <v>89</v>
      </c>
      <c r="H125" s="4">
        <f t="shared" si="2"/>
        <v>140</v>
      </c>
      <c r="I125" s="4"/>
      <c r="J125" s="9" t="str">
        <f t="shared" ca="1" si="1"/>
        <v/>
      </c>
    </row>
    <row r="126" spans="1:10" x14ac:dyDescent="0.3">
      <c r="A126" s="15">
        <v>1038</v>
      </c>
      <c r="B126" s="16" t="s">
        <v>90</v>
      </c>
      <c r="C126" s="16" t="s">
        <v>27</v>
      </c>
      <c r="D126" s="16" t="s">
        <v>38</v>
      </c>
      <c r="E126" s="15">
        <v>24</v>
      </c>
      <c r="F126" s="15">
        <v>8</v>
      </c>
      <c r="G126" s="15" t="s">
        <v>91</v>
      </c>
      <c r="H126" s="4">
        <f t="shared" si="2"/>
        <v>192</v>
      </c>
      <c r="I126" s="4"/>
      <c r="J126" s="9" t="str">
        <f t="shared" ca="1" si="1"/>
        <v/>
      </c>
    </row>
    <row r="127" spans="1:10" x14ac:dyDescent="0.3">
      <c r="A127" s="15">
        <v>1039</v>
      </c>
      <c r="B127" s="16" t="s">
        <v>92</v>
      </c>
      <c r="C127" s="16" t="s">
        <v>30</v>
      </c>
      <c r="D127" s="16" t="s">
        <v>25</v>
      </c>
      <c r="E127" s="15">
        <v>16</v>
      </c>
      <c r="F127" s="15">
        <v>50</v>
      </c>
      <c r="G127" s="15" t="s">
        <v>93</v>
      </c>
      <c r="H127" s="4">
        <f t="shared" si="2"/>
        <v>800</v>
      </c>
      <c r="I127" s="4"/>
      <c r="J127" s="9" t="str">
        <f t="shared" ca="1" si="1"/>
        <v/>
      </c>
    </row>
    <row r="128" spans="1:10" x14ac:dyDescent="0.3">
      <c r="A128" s="15">
        <v>1040</v>
      </c>
      <c r="B128" s="16" t="s">
        <v>94</v>
      </c>
      <c r="C128" s="16" t="s">
        <v>33</v>
      </c>
      <c r="D128" s="16" t="s">
        <v>28</v>
      </c>
      <c r="E128" s="15">
        <v>27</v>
      </c>
      <c r="F128" s="15">
        <v>10</v>
      </c>
      <c r="G128" s="15" t="s">
        <v>95</v>
      </c>
      <c r="H128" s="4">
        <f t="shared" si="2"/>
        <v>270</v>
      </c>
      <c r="I128" s="4"/>
      <c r="J128" s="9" t="str">
        <f t="shared" ca="1" si="1"/>
        <v/>
      </c>
    </row>
    <row r="129" spans="1:10" x14ac:dyDescent="0.3">
      <c r="A129" s="15">
        <v>1041</v>
      </c>
      <c r="B129" s="16" t="s">
        <v>96</v>
      </c>
      <c r="C129" s="16" t="s">
        <v>24</v>
      </c>
      <c r="D129" s="16" t="s">
        <v>31</v>
      </c>
      <c r="E129" s="15">
        <v>21</v>
      </c>
      <c r="F129" s="15">
        <v>25</v>
      </c>
      <c r="G129" s="15" t="s">
        <v>97</v>
      </c>
      <c r="H129" s="4">
        <f t="shared" si="2"/>
        <v>525</v>
      </c>
      <c r="I129" s="4"/>
      <c r="J129" s="9" t="str">
        <f t="shared" ca="1" si="1"/>
        <v/>
      </c>
    </row>
    <row r="130" spans="1:10" x14ac:dyDescent="0.3">
      <c r="A130" s="15">
        <v>1042</v>
      </c>
      <c r="B130" s="16" t="s">
        <v>98</v>
      </c>
      <c r="C130" s="16" t="s">
        <v>27</v>
      </c>
      <c r="D130" s="16" t="s">
        <v>35</v>
      </c>
      <c r="E130" s="15">
        <v>30</v>
      </c>
      <c r="F130" s="15">
        <v>5</v>
      </c>
      <c r="G130" s="15" t="s">
        <v>99</v>
      </c>
      <c r="H130" s="4">
        <f t="shared" si="2"/>
        <v>150</v>
      </c>
      <c r="I130" s="4"/>
      <c r="J130" s="9" t="str">
        <f t="shared" ca="1" si="1"/>
        <v/>
      </c>
    </row>
    <row r="131" spans="1:10" x14ac:dyDescent="0.3">
      <c r="A131" s="15">
        <v>1043</v>
      </c>
      <c r="B131" s="16" t="s">
        <v>100</v>
      </c>
      <c r="C131" s="16" t="s">
        <v>30</v>
      </c>
      <c r="D131" s="16" t="s">
        <v>38</v>
      </c>
      <c r="E131" s="15">
        <v>26</v>
      </c>
      <c r="F131" s="15">
        <v>8</v>
      </c>
      <c r="G131" s="17">
        <v>45294</v>
      </c>
      <c r="H131" s="4">
        <f t="shared" si="2"/>
        <v>208</v>
      </c>
      <c r="I131" s="4"/>
      <c r="J131" s="9" t="str">
        <f t="shared" ca="1" si="1"/>
        <v/>
      </c>
    </row>
    <row r="132" spans="1:10" x14ac:dyDescent="0.3">
      <c r="A132" s="15">
        <v>1044</v>
      </c>
      <c r="B132" s="16" t="s">
        <v>101</v>
      </c>
      <c r="C132" s="16" t="s">
        <v>33</v>
      </c>
      <c r="D132" s="16" t="s">
        <v>25</v>
      </c>
      <c r="E132" s="15">
        <v>14</v>
      </c>
      <c r="F132" s="15">
        <v>50</v>
      </c>
      <c r="G132" s="17">
        <v>45325</v>
      </c>
      <c r="H132" s="4">
        <f t="shared" si="2"/>
        <v>700</v>
      </c>
      <c r="I132" s="4"/>
      <c r="J132" s="9" t="str">
        <f t="shared" ca="1" si="1"/>
        <v/>
      </c>
    </row>
    <row r="133" spans="1:10" x14ac:dyDescent="0.3">
      <c r="A133" s="15">
        <v>1045</v>
      </c>
      <c r="B133" s="16" t="s">
        <v>102</v>
      </c>
      <c r="C133" s="16" t="s">
        <v>24</v>
      </c>
      <c r="D133" s="16" t="s">
        <v>28</v>
      </c>
      <c r="E133" s="15">
        <v>20</v>
      </c>
      <c r="F133" s="15">
        <v>10</v>
      </c>
      <c r="G133" s="17">
        <v>45354</v>
      </c>
      <c r="H133" s="4">
        <f t="shared" si="2"/>
        <v>200</v>
      </c>
      <c r="I133" s="4"/>
      <c r="J133" s="9" t="str">
        <f t="shared" ca="1" si="1"/>
        <v/>
      </c>
    </row>
    <row r="134" spans="1:10" x14ac:dyDescent="0.3">
      <c r="A134" s="15">
        <v>1046</v>
      </c>
      <c r="B134" s="16" t="s">
        <v>103</v>
      </c>
      <c r="C134" s="16" t="s">
        <v>27</v>
      </c>
      <c r="D134" s="16" t="s">
        <v>31</v>
      </c>
      <c r="E134" s="15">
        <v>17</v>
      </c>
      <c r="F134" s="15">
        <v>25</v>
      </c>
      <c r="G134" s="17">
        <v>45385</v>
      </c>
      <c r="H134" s="4">
        <f t="shared" si="2"/>
        <v>425</v>
      </c>
      <c r="I134" s="4"/>
      <c r="J134" s="9" t="str">
        <f t="shared" ca="1" si="1"/>
        <v/>
      </c>
    </row>
    <row r="135" spans="1:10" x14ac:dyDescent="0.3">
      <c r="A135" s="15">
        <v>1047</v>
      </c>
      <c r="B135" s="16" t="s">
        <v>104</v>
      </c>
      <c r="C135" s="16" t="s">
        <v>30</v>
      </c>
      <c r="D135" s="16" t="s">
        <v>35</v>
      </c>
      <c r="E135" s="15">
        <v>19</v>
      </c>
      <c r="F135" s="15">
        <v>5</v>
      </c>
      <c r="G135" s="17">
        <v>45415</v>
      </c>
      <c r="H135" s="4">
        <f t="shared" si="2"/>
        <v>95</v>
      </c>
      <c r="I135" s="4"/>
      <c r="J135" s="9" t="str">
        <f t="shared" ca="1" si="1"/>
        <v/>
      </c>
    </row>
    <row r="136" spans="1:10" x14ac:dyDescent="0.3">
      <c r="A136" s="15">
        <v>1048</v>
      </c>
      <c r="B136" s="16" t="s">
        <v>105</v>
      </c>
      <c r="C136" s="16" t="s">
        <v>33</v>
      </c>
      <c r="D136" s="16" t="s">
        <v>38</v>
      </c>
      <c r="E136" s="15">
        <v>32</v>
      </c>
      <c r="F136" s="15">
        <v>8</v>
      </c>
      <c r="G136" s="17">
        <v>45446</v>
      </c>
      <c r="H136" s="4">
        <f t="shared" si="2"/>
        <v>256</v>
      </c>
      <c r="I136" s="4"/>
      <c r="J136" s="9" t="str">
        <f t="shared" ca="1" si="1"/>
        <v/>
      </c>
    </row>
    <row r="137" spans="1:10" x14ac:dyDescent="0.3">
      <c r="A137" s="15">
        <v>1049</v>
      </c>
      <c r="B137" s="16" t="s">
        <v>106</v>
      </c>
      <c r="C137" s="16" t="s">
        <v>24</v>
      </c>
      <c r="D137" s="16" t="s">
        <v>25</v>
      </c>
      <c r="E137" s="15">
        <v>12</v>
      </c>
      <c r="F137" s="15">
        <v>50</v>
      </c>
      <c r="G137" s="17">
        <v>45476</v>
      </c>
      <c r="H137" s="4">
        <f t="shared" si="2"/>
        <v>600</v>
      </c>
      <c r="I137" s="4"/>
      <c r="J137" s="9" t="str">
        <f t="shared" ca="1" si="1"/>
        <v/>
      </c>
    </row>
    <row r="138" spans="1:10" x14ac:dyDescent="0.3">
      <c r="A138" s="15">
        <v>1050</v>
      </c>
      <c r="B138" s="16" t="s">
        <v>107</v>
      </c>
      <c r="C138" s="16" t="s">
        <v>27</v>
      </c>
      <c r="D138" s="16" t="s">
        <v>28</v>
      </c>
      <c r="E138" s="15">
        <v>25</v>
      </c>
      <c r="F138" s="15">
        <v>10</v>
      </c>
      <c r="G138" s="17">
        <v>45507</v>
      </c>
      <c r="H138" s="4">
        <f t="shared" si="2"/>
        <v>250</v>
      </c>
      <c r="I138" s="4"/>
      <c r="J138" s="9" t="str">
        <f t="shared" ref="J138:J201" ca="1" si="3">IF(_xlfn.ISFORMULA(A138), _xlfn.FORMULATEXT(A138), "")</f>
        <v/>
      </c>
    </row>
    <row r="139" spans="1:10" x14ac:dyDescent="0.3">
      <c r="J139" s="9" t="str">
        <f t="shared" ca="1" si="3"/>
        <v/>
      </c>
    </row>
    <row r="140" spans="1:10" x14ac:dyDescent="0.3">
      <c r="J140" s="9" t="str">
        <f t="shared" ca="1" si="3"/>
        <v/>
      </c>
    </row>
    <row r="141" spans="1:10" x14ac:dyDescent="0.3">
      <c r="A141" s="1" t="s">
        <v>111</v>
      </c>
      <c r="J141" s="9" t="str">
        <f t="shared" ca="1" si="3"/>
        <v/>
      </c>
    </row>
    <row r="142" spans="1:10" x14ac:dyDescent="0.3">
      <c r="A142" s="4"/>
      <c r="B142" s="4"/>
      <c r="C142" s="4"/>
      <c r="D142" s="13" t="s">
        <v>14</v>
      </c>
      <c r="E142" s="18">
        <f>SUMIFS(H89:H138, C89:C138, "North", D89:D138, "Notebook")</f>
        <v>2900</v>
      </c>
      <c r="F142" s="4"/>
      <c r="G142" s="4" t="s">
        <v>122</v>
      </c>
      <c r="H142" s="4"/>
      <c r="I142" s="4"/>
      <c r="J142" s="9"/>
    </row>
    <row r="143" spans="1:10" x14ac:dyDescent="0.3">
      <c r="J143" s="9" t="str">
        <f t="shared" ca="1" si="3"/>
        <v/>
      </c>
    </row>
    <row r="144" spans="1:10" x14ac:dyDescent="0.3">
      <c r="A144" s="1" t="s">
        <v>112</v>
      </c>
      <c r="J144" s="9" t="str">
        <f t="shared" ca="1" si="3"/>
        <v/>
      </c>
    </row>
    <row r="145" spans="1:16" x14ac:dyDescent="0.3">
      <c r="J145" s="9" t="str">
        <f t="shared" ca="1" si="3"/>
        <v/>
      </c>
    </row>
    <row r="146" spans="1:16" x14ac:dyDescent="0.3">
      <c r="A146" s="20" t="s">
        <v>16</v>
      </c>
      <c r="B146" s="21" t="s">
        <v>17</v>
      </c>
      <c r="C146" s="21" t="s">
        <v>18</v>
      </c>
      <c r="D146" s="20" t="s">
        <v>19</v>
      </c>
      <c r="E146" s="21" t="s">
        <v>20</v>
      </c>
      <c r="F146" s="21" t="s">
        <v>21</v>
      </c>
      <c r="G146" s="22" t="s">
        <v>22</v>
      </c>
      <c r="H146" s="21" t="s">
        <v>110</v>
      </c>
      <c r="I146" s="1"/>
      <c r="J146" s="9" t="str">
        <f t="shared" ca="1" si="3"/>
        <v/>
      </c>
    </row>
    <row r="147" spans="1:16" x14ac:dyDescent="0.3">
      <c r="A147" s="23">
        <v>1001</v>
      </c>
      <c r="B147" s="24" t="s">
        <v>23</v>
      </c>
      <c r="C147" s="24" t="s">
        <v>24</v>
      </c>
      <c r="D147" s="24" t="s">
        <v>25</v>
      </c>
      <c r="E147" s="24">
        <v>10</v>
      </c>
      <c r="F147" s="24">
        <v>50</v>
      </c>
      <c r="G147" s="25">
        <v>45413</v>
      </c>
      <c r="H147" s="24">
        <v>500</v>
      </c>
      <c r="J147" s="9" t="str">
        <f t="shared" ca="1" si="3"/>
        <v/>
      </c>
    </row>
    <row r="148" spans="1:16" x14ac:dyDescent="0.3">
      <c r="A148" s="23">
        <v>1002</v>
      </c>
      <c r="B148" s="24" t="s">
        <v>26</v>
      </c>
      <c r="C148" s="24" t="s">
        <v>27</v>
      </c>
      <c r="D148" s="24" t="s">
        <v>28</v>
      </c>
      <c r="E148" s="24">
        <v>20</v>
      </c>
      <c r="F148" s="24">
        <v>10</v>
      </c>
      <c r="G148" s="25">
        <v>45444</v>
      </c>
      <c r="H148" s="24">
        <v>200</v>
      </c>
      <c r="J148" s="9" t="str">
        <f t="shared" ca="1" si="3"/>
        <v/>
      </c>
    </row>
    <row r="149" spans="1:16" x14ac:dyDescent="0.3">
      <c r="A149" s="23">
        <v>1003</v>
      </c>
      <c r="B149" s="24" t="s">
        <v>29</v>
      </c>
      <c r="C149" s="24" t="s">
        <v>30</v>
      </c>
      <c r="D149" s="24" t="s">
        <v>31</v>
      </c>
      <c r="E149" s="24">
        <v>15</v>
      </c>
      <c r="F149" s="24">
        <v>25</v>
      </c>
      <c r="G149" s="25">
        <v>45474</v>
      </c>
      <c r="H149" s="24">
        <v>375</v>
      </c>
      <c r="J149" s="9" t="str">
        <f t="shared" ca="1" si="3"/>
        <v/>
      </c>
    </row>
    <row r="150" spans="1:16" x14ac:dyDescent="0.3">
      <c r="A150" s="23">
        <v>1004</v>
      </c>
      <c r="B150" s="24" t="s">
        <v>32</v>
      </c>
      <c r="C150" s="24" t="s">
        <v>33</v>
      </c>
      <c r="D150" s="24" t="s">
        <v>25</v>
      </c>
      <c r="E150" s="24">
        <v>5</v>
      </c>
      <c r="F150" s="24">
        <v>50</v>
      </c>
      <c r="G150" s="25">
        <v>45505</v>
      </c>
      <c r="H150" s="24">
        <v>250</v>
      </c>
      <c r="J150" s="9" t="str">
        <f t="shared" ca="1" si="3"/>
        <v/>
      </c>
    </row>
    <row r="151" spans="1:16" x14ac:dyDescent="0.3">
      <c r="A151" s="23">
        <v>1005</v>
      </c>
      <c r="B151" s="24" t="s">
        <v>34</v>
      </c>
      <c r="C151" s="24" t="s">
        <v>24</v>
      </c>
      <c r="D151" s="24" t="s">
        <v>35</v>
      </c>
      <c r="E151" s="24">
        <v>30</v>
      </c>
      <c r="F151" s="24">
        <v>5</v>
      </c>
      <c r="G151" s="25">
        <v>45566</v>
      </c>
      <c r="H151" s="24">
        <v>150</v>
      </c>
      <c r="J151" s="9" t="str">
        <f t="shared" ca="1" si="3"/>
        <v/>
      </c>
    </row>
    <row r="152" spans="1:16" x14ac:dyDescent="0.3">
      <c r="A152" s="23">
        <v>1006</v>
      </c>
      <c r="B152" s="24" t="s">
        <v>36</v>
      </c>
      <c r="C152" s="24" t="s">
        <v>27</v>
      </c>
      <c r="D152" s="24" t="s">
        <v>25</v>
      </c>
      <c r="E152" s="24">
        <v>12</v>
      </c>
      <c r="F152" s="24">
        <v>50</v>
      </c>
      <c r="G152" s="25">
        <v>45597</v>
      </c>
      <c r="H152" s="24">
        <v>600</v>
      </c>
      <c r="J152" s="9" t="str">
        <f t="shared" ca="1" si="3"/>
        <v/>
      </c>
    </row>
    <row r="153" spans="1:16" x14ac:dyDescent="0.3">
      <c r="A153" s="23">
        <v>1007</v>
      </c>
      <c r="B153" s="24" t="s">
        <v>37</v>
      </c>
      <c r="C153" s="24" t="s">
        <v>30</v>
      </c>
      <c r="D153" s="24" t="s">
        <v>38</v>
      </c>
      <c r="E153" s="24">
        <v>25</v>
      </c>
      <c r="F153" s="24">
        <v>8</v>
      </c>
      <c r="G153" s="25" t="s">
        <v>39</v>
      </c>
      <c r="H153" s="24">
        <v>200</v>
      </c>
      <c r="J153" s="9" t="str">
        <f t="shared" ca="1" si="3"/>
        <v/>
      </c>
    </row>
    <row r="154" spans="1:16" x14ac:dyDescent="0.3">
      <c r="A154" s="23">
        <v>1008</v>
      </c>
      <c r="B154" s="24" t="s">
        <v>40</v>
      </c>
      <c r="C154" s="24" t="s">
        <v>33</v>
      </c>
      <c r="D154" s="24" t="s">
        <v>28</v>
      </c>
      <c r="E154" s="24">
        <v>18</v>
      </c>
      <c r="F154" s="24">
        <v>10</v>
      </c>
      <c r="G154" s="25" t="s">
        <v>41</v>
      </c>
      <c r="H154" s="24">
        <v>180</v>
      </c>
      <c r="I154" s="4"/>
      <c r="J154" s="18" t="str">
        <f t="shared" ca="1" si="3"/>
        <v/>
      </c>
      <c r="K154" s="4"/>
      <c r="L154" s="4"/>
      <c r="M154" s="4"/>
      <c r="N154" s="4"/>
      <c r="O154" s="4"/>
      <c r="P154" s="4"/>
    </row>
    <row r="155" spans="1:16" x14ac:dyDescent="0.3">
      <c r="A155" s="23">
        <v>1009</v>
      </c>
      <c r="B155" s="24" t="s">
        <v>42</v>
      </c>
      <c r="C155" s="24" t="s">
        <v>24</v>
      </c>
      <c r="D155" s="24" t="s">
        <v>31</v>
      </c>
      <c r="E155" s="24">
        <v>22</v>
      </c>
      <c r="F155" s="24">
        <v>25</v>
      </c>
      <c r="G155" s="25" t="s">
        <v>43</v>
      </c>
      <c r="H155" s="24">
        <v>550</v>
      </c>
      <c r="I155" s="4"/>
      <c r="J155" s="4" t="s">
        <v>114</v>
      </c>
      <c r="K155" s="4" t="s">
        <v>116</v>
      </c>
      <c r="L155" s="4"/>
      <c r="M155" s="4"/>
      <c r="N155" s="4"/>
      <c r="O155" s="4"/>
      <c r="P155" s="4"/>
    </row>
    <row r="156" spans="1:16" x14ac:dyDescent="0.3">
      <c r="A156" s="23">
        <v>1010</v>
      </c>
      <c r="B156" s="24" t="s">
        <v>44</v>
      </c>
      <c r="C156" s="24" t="s">
        <v>27</v>
      </c>
      <c r="D156" s="24" t="s">
        <v>25</v>
      </c>
      <c r="E156" s="24">
        <v>8</v>
      </c>
      <c r="F156" s="24">
        <v>50</v>
      </c>
      <c r="G156" s="25" t="s">
        <v>45</v>
      </c>
      <c r="H156" s="24">
        <v>400</v>
      </c>
      <c r="I156" s="4"/>
      <c r="J156" s="28" t="s">
        <v>38</v>
      </c>
      <c r="K156" s="4">
        <v>1928</v>
      </c>
      <c r="L156" s="4"/>
      <c r="M156" s="4"/>
      <c r="N156" s="4"/>
      <c r="O156" s="4"/>
      <c r="P156" s="4"/>
    </row>
    <row r="157" spans="1:16" x14ac:dyDescent="0.3">
      <c r="A157" s="23">
        <v>1011</v>
      </c>
      <c r="B157" s="24" t="s">
        <v>46</v>
      </c>
      <c r="C157" s="24" t="s">
        <v>30</v>
      </c>
      <c r="D157" s="24" t="s">
        <v>35</v>
      </c>
      <c r="E157" s="24">
        <v>40</v>
      </c>
      <c r="F157" s="24">
        <v>5</v>
      </c>
      <c r="G157" s="25" t="s">
        <v>47</v>
      </c>
      <c r="H157" s="24">
        <v>200</v>
      </c>
      <c r="I157" s="4"/>
      <c r="J157" s="28" t="s">
        <v>31</v>
      </c>
      <c r="K157" s="4">
        <v>3650</v>
      </c>
      <c r="L157" s="4"/>
      <c r="M157" s="4"/>
      <c r="N157" s="4"/>
      <c r="O157" s="4"/>
      <c r="P157" s="4"/>
    </row>
    <row r="158" spans="1:16" x14ac:dyDescent="0.3">
      <c r="A158" s="23">
        <v>1012</v>
      </c>
      <c r="B158" s="24" t="s">
        <v>48</v>
      </c>
      <c r="C158" s="24" t="s">
        <v>33</v>
      </c>
      <c r="D158" s="24" t="s">
        <v>38</v>
      </c>
      <c r="E158" s="24">
        <v>35</v>
      </c>
      <c r="F158" s="24">
        <v>8</v>
      </c>
      <c r="G158" s="25" t="s">
        <v>49</v>
      </c>
      <c r="H158" s="24">
        <v>280</v>
      </c>
      <c r="I158" s="4"/>
      <c r="J158" s="28" t="s">
        <v>25</v>
      </c>
      <c r="K158" s="4">
        <v>7550</v>
      </c>
      <c r="L158" s="4"/>
      <c r="M158" s="4"/>
      <c r="N158" s="4"/>
      <c r="O158" s="4"/>
      <c r="P158" s="4"/>
    </row>
    <row r="159" spans="1:16" x14ac:dyDescent="0.3">
      <c r="A159" s="23">
        <v>1013</v>
      </c>
      <c r="B159" s="24" t="s">
        <v>50</v>
      </c>
      <c r="C159" s="24" t="s">
        <v>24</v>
      </c>
      <c r="D159" s="24" t="s">
        <v>25</v>
      </c>
      <c r="E159" s="24">
        <v>14</v>
      </c>
      <c r="F159" s="24">
        <v>50</v>
      </c>
      <c r="G159" s="25" t="s">
        <v>51</v>
      </c>
      <c r="H159" s="24">
        <v>700</v>
      </c>
      <c r="I159" s="4"/>
      <c r="J159" s="28" t="s">
        <v>28</v>
      </c>
      <c r="K159" s="4">
        <v>2180</v>
      </c>
      <c r="L159" s="4"/>
      <c r="M159" s="4"/>
      <c r="N159" s="4"/>
      <c r="O159" s="4"/>
      <c r="P159" s="4"/>
    </row>
    <row r="160" spans="1:16" x14ac:dyDescent="0.3">
      <c r="A160" s="23">
        <v>1014</v>
      </c>
      <c r="B160" s="24" t="s">
        <v>52</v>
      </c>
      <c r="C160" s="24" t="s">
        <v>27</v>
      </c>
      <c r="D160" s="24" t="s">
        <v>28</v>
      </c>
      <c r="E160" s="24">
        <v>28</v>
      </c>
      <c r="F160" s="24">
        <v>10</v>
      </c>
      <c r="G160" s="25" t="s">
        <v>53</v>
      </c>
      <c r="H160" s="24">
        <v>280</v>
      </c>
      <c r="I160" s="4"/>
      <c r="J160" s="28" t="s">
        <v>35</v>
      </c>
      <c r="K160" s="4">
        <v>1235</v>
      </c>
      <c r="L160" s="4"/>
      <c r="M160" s="4"/>
      <c r="N160" s="4"/>
      <c r="O160" s="4"/>
      <c r="P160" s="4"/>
    </row>
    <row r="161" spans="1:16" x14ac:dyDescent="0.3">
      <c r="A161" s="23">
        <v>1015</v>
      </c>
      <c r="B161" s="24" t="s">
        <v>54</v>
      </c>
      <c r="C161" s="24" t="s">
        <v>30</v>
      </c>
      <c r="D161" s="24" t="s">
        <v>31</v>
      </c>
      <c r="E161" s="24">
        <v>12</v>
      </c>
      <c r="F161" s="24">
        <v>25</v>
      </c>
      <c r="G161" s="25" t="s">
        <v>55</v>
      </c>
      <c r="H161" s="24">
        <v>300</v>
      </c>
      <c r="I161" s="4"/>
      <c r="J161" s="28" t="s">
        <v>115</v>
      </c>
      <c r="K161" s="4">
        <v>16543</v>
      </c>
      <c r="L161" s="4"/>
      <c r="M161" s="4"/>
      <c r="N161" s="4"/>
      <c r="O161" s="4"/>
      <c r="P161" s="4"/>
    </row>
    <row r="162" spans="1:16" x14ac:dyDescent="0.3">
      <c r="A162" s="23">
        <v>1016</v>
      </c>
      <c r="B162" s="24" t="s">
        <v>56</v>
      </c>
      <c r="C162" s="24" t="s">
        <v>33</v>
      </c>
      <c r="D162" s="24" t="s">
        <v>35</v>
      </c>
      <c r="E162" s="24">
        <v>25</v>
      </c>
      <c r="F162" s="24">
        <v>5</v>
      </c>
      <c r="G162" s="25" t="s">
        <v>57</v>
      </c>
      <c r="H162" s="24">
        <v>125</v>
      </c>
      <c r="I162" s="4"/>
      <c r="J162" s="4"/>
      <c r="K162" s="4"/>
      <c r="L162" s="4"/>
      <c r="M162" s="4"/>
      <c r="N162" s="4"/>
      <c r="O162" s="4"/>
      <c r="P162" s="4"/>
    </row>
    <row r="163" spans="1:16" x14ac:dyDescent="0.3">
      <c r="A163" s="23">
        <v>1017</v>
      </c>
      <c r="B163" s="24" t="s">
        <v>58</v>
      </c>
      <c r="C163" s="24" t="s">
        <v>24</v>
      </c>
      <c r="D163" s="24" t="s">
        <v>38</v>
      </c>
      <c r="E163" s="24">
        <v>20</v>
      </c>
      <c r="F163" s="24">
        <v>8</v>
      </c>
      <c r="G163" s="25" t="s">
        <v>59</v>
      </c>
      <c r="H163" s="24">
        <v>160</v>
      </c>
      <c r="I163" s="4"/>
      <c r="J163" s="4"/>
      <c r="K163" s="4"/>
      <c r="L163" s="4"/>
      <c r="M163" s="4"/>
      <c r="N163" s="4"/>
      <c r="O163" s="4"/>
      <c r="P163" s="4"/>
    </row>
    <row r="164" spans="1:16" x14ac:dyDescent="0.3">
      <c r="A164" s="23">
        <v>1018</v>
      </c>
      <c r="B164" s="24" t="s">
        <v>60</v>
      </c>
      <c r="C164" s="24" t="s">
        <v>27</v>
      </c>
      <c r="D164" s="24" t="s">
        <v>25</v>
      </c>
      <c r="E164" s="24">
        <v>10</v>
      </c>
      <c r="F164" s="24">
        <v>50</v>
      </c>
      <c r="G164" s="25" t="s">
        <v>61</v>
      </c>
      <c r="H164" s="24">
        <v>500</v>
      </c>
      <c r="I164" s="4"/>
      <c r="J164" s="4"/>
      <c r="K164" s="4"/>
      <c r="L164" s="4"/>
      <c r="M164" s="4"/>
      <c r="N164" s="4"/>
      <c r="O164" s="4"/>
      <c r="P164" s="4"/>
    </row>
    <row r="165" spans="1:16" x14ac:dyDescent="0.3">
      <c r="A165" s="23">
        <v>1019</v>
      </c>
      <c r="B165" s="24" t="s">
        <v>62</v>
      </c>
      <c r="C165" s="24" t="s">
        <v>30</v>
      </c>
      <c r="D165" s="24" t="s">
        <v>28</v>
      </c>
      <c r="E165" s="24">
        <v>15</v>
      </c>
      <c r="F165" s="24">
        <v>10</v>
      </c>
      <c r="G165" s="25" t="s">
        <v>63</v>
      </c>
      <c r="H165" s="24">
        <v>150</v>
      </c>
      <c r="I165" s="4"/>
      <c r="J165" s="4"/>
      <c r="K165" s="4"/>
      <c r="L165" s="4"/>
      <c r="M165" s="4"/>
      <c r="N165" s="4"/>
      <c r="O165" s="4"/>
      <c r="P165" s="4"/>
    </row>
    <row r="166" spans="1:16" x14ac:dyDescent="0.3">
      <c r="A166" s="23">
        <v>1020</v>
      </c>
      <c r="B166" s="24" t="s">
        <v>64</v>
      </c>
      <c r="C166" s="24" t="s">
        <v>33</v>
      </c>
      <c r="D166" s="24" t="s">
        <v>31</v>
      </c>
      <c r="E166" s="24">
        <v>18</v>
      </c>
      <c r="F166" s="24">
        <v>25</v>
      </c>
      <c r="G166" s="25">
        <v>45293</v>
      </c>
      <c r="H166" s="24">
        <v>450</v>
      </c>
      <c r="I166" s="4"/>
      <c r="J166" s="4"/>
      <c r="K166" s="4"/>
      <c r="L166" s="4"/>
      <c r="M166" s="4"/>
      <c r="N166" s="4"/>
      <c r="O166" s="4"/>
      <c r="P166" s="4"/>
    </row>
    <row r="167" spans="1:16" x14ac:dyDescent="0.3">
      <c r="A167" s="23">
        <v>1021</v>
      </c>
      <c r="B167" s="24" t="s">
        <v>65</v>
      </c>
      <c r="C167" s="24" t="s">
        <v>24</v>
      </c>
      <c r="D167" s="24" t="s">
        <v>25</v>
      </c>
      <c r="E167" s="24">
        <v>9</v>
      </c>
      <c r="F167" s="24">
        <v>50</v>
      </c>
      <c r="G167" s="25">
        <v>45324</v>
      </c>
      <c r="H167" s="24">
        <v>450</v>
      </c>
      <c r="I167" s="4"/>
      <c r="J167" s="4"/>
      <c r="K167" s="4"/>
      <c r="L167" s="4"/>
      <c r="M167" s="4"/>
      <c r="N167" s="4"/>
      <c r="O167" s="4"/>
      <c r="P167" s="4"/>
    </row>
    <row r="168" spans="1:16" x14ac:dyDescent="0.3">
      <c r="A168" s="23">
        <v>1022</v>
      </c>
      <c r="B168" s="24" t="s">
        <v>66</v>
      </c>
      <c r="C168" s="24" t="s">
        <v>27</v>
      </c>
      <c r="D168" s="24" t="s">
        <v>35</v>
      </c>
      <c r="E168" s="24">
        <v>35</v>
      </c>
      <c r="F168" s="24">
        <v>5</v>
      </c>
      <c r="G168" s="25">
        <v>45353</v>
      </c>
      <c r="H168" s="24">
        <v>175</v>
      </c>
      <c r="I168" s="4"/>
      <c r="J168" s="4"/>
      <c r="K168" s="4"/>
      <c r="L168" s="4"/>
      <c r="M168" s="4"/>
      <c r="N168" s="4"/>
      <c r="O168" s="4"/>
      <c r="P168" s="4"/>
    </row>
    <row r="169" spans="1:16" x14ac:dyDescent="0.3">
      <c r="A169" s="23">
        <v>1023</v>
      </c>
      <c r="B169" s="24" t="s">
        <v>67</v>
      </c>
      <c r="C169" s="24" t="s">
        <v>30</v>
      </c>
      <c r="D169" s="24" t="s">
        <v>38</v>
      </c>
      <c r="E169" s="24">
        <v>30</v>
      </c>
      <c r="F169" s="24">
        <v>8</v>
      </c>
      <c r="G169" s="25">
        <v>45384</v>
      </c>
      <c r="H169" s="24">
        <v>240</v>
      </c>
      <c r="I169" s="4"/>
      <c r="J169" s="4"/>
      <c r="K169" s="4"/>
      <c r="L169" s="4"/>
      <c r="M169" s="4"/>
      <c r="N169" s="4"/>
      <c r="O169" s="4"/>
      <c r="P169" s="4"/>
    </row>
    <row r="170" spans="1:16" x14ac:dyDescent="0.3">
      <c r="A170" s="23">
        <v>1024</v>
      </c>
      <c r="B170" s="24" t="s">
        <v>68</v>
      </c>
      <c r="C170" s="24" t="s">
        <v>33</v>
      </c>
      <c r="D170" s="24" t="s">
        <v>25</v>
      </c>
      <c r="E170" s="24">
        <v>11</v>
      </c>
      <c r="F170" s="24">
        <v>50</v>
      </c>
      <c r="G170" s="25">
        <v>45445</v>
      </c>
      <c r="H170" s="24">
        <v>550</v>
      </c>
      <c r="I170" s="4"/>
      <c r="J170" s="4"/>
      <c r="K170" s="4"/>
      <c r="L170" s="4"/>
      <c r="M170" s="4"/>
      <c r="N170" s="4"/>
      <c r="O170" s="4"/>
      <c r="P170" s="4"/>
    </row>
    <row r="171" spans="1:16" x14ac:dyDescent="0.3">
      <c r="A171" s="23">
        <v>1025</v>
      </c>
      <c r="B171" s="24" t="s">
        <v>69</v>
      </c>
      <c r="C171" s="24" t="s">
        <v>24</v>
      </c>
      <c r="D171" s="24" t="s">
        <v>28</v>
      </c>
      <c r="E171" s="24">
        <v>14</v>
      </c>
      <c r="F171" s="24">
        <v>10</v>
      </c>
      <c r="G171" s="25">
        <v>45475</v>
      </c>
      <c r="H171" s="24">
        <v>140</v>
      </c>
      <c r="I171" s="4"/>
      <c r="J171" s="4"/>
      <c r="K171" s="4"/>
      <c r="L171" s="4"/>
      <c r="M171" s="4"/>
      <c r="N171" s="4"/>
      <c r="O171" s="4"/>
      <c r="P171" s="4"/>
    </row>
    <row r="172" spans="1:16" x14ac:dyDescent="0.3">
      <c r="A172" s="23">
        <v>1026</v>
      </c>
      <c r="B172" s="24" t="s">
        <v>70</v>
      </c>
      <c r="C172" s="24" t="s">
        <v>27</v>
      </c>
      <c r="D172" s="24" t="s">
        <v>31</v>
      </c>
      <c r="E172" s="24">
        <v>16</v>
      </c>
      <c r="F172" s="24">
        <v>25</v>
      </c>
      <c r="G172" s="25">
        <v>45506</v>
      </c>
      <c r="H172" s="24">
        <v>400</v>
      </c>
      <c r="I172" s="4"/>
      <c r="J172" s="4"/>
      <c r="K172" s="4"/>
      <c r="L172" s="4"/>
      <c r="M172" s="4"/>
      <c r="N172" s="4"/>
      <c r="O172" s="4"/>
      <c r="P172" s="4"/>
    </row>
    <row r="173" spans="1:16" x14ac:dyDescent="0.3">
      <c r="A173" s="23">
        <v>1027</v>
      </c>
      <c r="B173" s="24" t="s">
        <v>71</v>
      </c>
      <c r="C173" s="24" t="s">
        <v>30</v>
      </c>
      <c r="D173" s="24" t="s">
        <v>35</v>
      </c>
      <c r="E173" s="24">
        <v>22</v>
      </c>
      <c r="F173" s="24">
        <v>5</v>
      </c>
      <c r="G173" s="25">
        <v>45537</v>
      </c>
      <c r="H173" s="24">
        <v>110</v>
      </c>
      <c r="I173" s="4"/>
      <c r="J173" s="18" t="str">
        <f t="shared" ca="1" si="3"/>
        <v/>
      </c>
      <c r="K173" s="4"/>
      <c r="L173" s="4"/>
      <c r="M173" s="4"/>
      <c r="N173" s="4"/>
      <c r="O173" s="4"/>
      <c r="P173" s="4"/>
    </row>
    <row r="174" spans="1:16" x14ac:dyDescent="0.3">
      <c r="A174" s="23">
        <v>1028</v>
      </c>
      <c r="B174" s="24" t="s">
        <v>72</v>
      </c>
      <c r="C174" s="24" t="s">
        <v>33</v>
      </c>
      <c r="D174" s="24" t="s">
        <v>38</v>
      </c>
      <c r="E174" s="24">
        <v>27</v>
      </c>
      <c r="F174" s="24">
        <v>8</v>
      </c>
      <c r="G174" s="25">
        <v>45567</v>
      </c>
      <c r="H174" s="24">
        <v>216</v>
      </c>
      <c r="I174" s="4"/>
      <c r="J174" s="18" t="str">
        <f t="shared" ca="1" si="3"/>
        <v/>
      </c>
      <c r="K174" s="4"/>
      <c r="L174" s="4"/>
      <c r="M174" s="4"/>
      <c r="N174" s="4"/>
      <c r="O174" s="4"/>
      <c r="P174" s="4"/>
    </row>
    <row r="175" spans="1:16" x14ac:dyDescent="0.3">
      <c r="A175" s="23">
        <v>1029</v>
      </c>
      <c r="B175" s="24" t="s">
        <v>73</v>
      </c>
      <c r="C175" s="24" t="s">
        <v>24</v>
      </c>
      <c r="D175" s="24" t="s">
        <v>25</v>
      </c>
      <c r="E175" s="24">
        <v>13</v>
      </c>
      <c r="F175" s="24">
        <v>50</v>
      </c>
      <c r="G175" s="25">
        <v>45628</v>
      </c>
      <c r="H175" s="24">
        <v>650</v>
      </c>
      <c r="I175" s="4"/>
      <c r="J175" s="18" t="str">
        <f t="shared" ca="1" si="3"/>
        <v/>
      </c>
      <c r="K175" s="4"/>
      <c r="L175" s="4"/>
      <c r="M175" s="4"/>
      <c r="N175" s="4"/>
      <c r="O175" s="4"/>
      <c r="P175" s="4"/>
    </row>
    <row r="176" spans="1:16" x14ac:dyDescent="0.3">
      <c r="A176" s="23">
        <v>1030</v>
      </c>
      <c r="B176" s="24" t="s">
        <v>74</v>
      </c>
      <c r="C176" s="24" t="s">
        <v>27</v>
      </c>
      <c r="D176" s="24" t="s">
        <v>28</v>
      </c>
      <c r="E176" s="24">
        <v>32</v>
      </c>
      <c r="F176" s="24">
        <v>10</v>
      </c>
      <c r="G176" s="25" t="s">
        <v>75</v>
      </c>
      <c r="H176" s="24">
        <v>320</v>
      </c>
      <c r="I176" s="4"/>
      <c r="J176" s="18" t="str">
        <f t="shared" ca="1" si="3"/>
        <v/>
      </c>
      <c r="K176" s="4"/>
      <c r="L176" s="4"/>
      <c r="M176" s="4"/>
      <c r="N176" s="4"/>
      <c r="O176" s="4"/>
      <c r="P176" s="4"/>
    </row>
    <row r="177" spans="1:16" x14ac:dyDescent="0.3">
      <c r="A177" s="23">
        <v>1031</v>
      </c>
      <c r="B177" s="24" t="s">
        <v>76</v>
      </c>
      <c r="C177" s="24" t="s">
        <v>30</v>
      </c>
      <c r="D177" s="24" t="s">
        <v>31</v>
      </c>
      <c r="E177" s="24">
        <v>10</v>
      </c>
      <c r="F177" s="24">
        <v>25</v>
      </c>
      <c r="G177" s="25" t="s">
        <v>77</v>
      </c>
      <c r="H177" s="24">
        <v>250</v>
      </c>
      <c r="I177" s="4"/>
      <c r="J177" s="18" t="str">
        <f t="shared" ca="1" si="3"/>
        <v/>
      </c>
      <c r="K177" s="4"/>
      <c r="L177" s="4"/>
      <c r="M177" s="4"/>
      <c r="N177" s="4"/>
      <c r="O177" s="4"/>
      <c r="P177" s="4"/>
    </row>
    <row r="178" spans="1:16" x14ac:dyDescent="0.3">
      <c r="A178" s="23">
        <v>1032</v>
      </c>
      <c r="B178" s="24" t="s">
        <v>78</v>
      </c>
      <c r="C178" s="24" t="s">
        <v>33</v>
      </c>
      <c r="D178" s="24" t="s">
        <v>35</v>
      </c>
      <c r="E178" s="24">
        <v>18</v>
      </c>
      <c r="F178" s="24">
        <v>5</v>
      </c>
      <c r="G178" s="25" t="s">
        <v>79</v>
      </c>
      <c r="H178" s="24">
        <v>90</v>
      </c>
      <c r="I178" s="4"/>
      <c r="J178" s="18" t="str">
        <f t="shared" ca="1" si="3"/>
        <v/>
      </c>
      <c r="K178" s="4"/>
      <c r="L178" s="4"/>
      <c r="M178" s="4"/>
      <c r="N178" s="4"/>
      <c r="O178" s="4"/>
      <c r="P178" s="4"/>
    </row>
    <row r="179" spans="1:16" x14ac:dyDescent="0.3">
      <c r="A179" s="23">
        <v>1033</v>
      </c>
      <c r="B179" s="24" t="s">
        <v>80</v>
      </c>
      <c r="C179" s="24" t="s">
        <v>24</v>
      </c>
      <c r="D179" s="24" t="s">
        <v>38</v>
      </c>
      <c r="E179" s="24">
        <v>22</v>
      </c>
      <c r="F179" s="24">
        <v>8</v>
      </c>
      <c r="G179" s="25" t="s">
        <v>81</v>
      </c>
      <c r="H179" s="24">
        <v>176</v>
      </c>
      <c r="I179" s="4"/>
      <c r="J179" s="18" t="str">
        <f t="shared" ca="1" si="3"/>
        <v/>
      </c>
      <c r="K179" s="4"/>
      <c r="L179" s="4"/>
      <c r="M179" s="4"/>
      <c r="N179" s="4"/>
      <c r="O179" s="4"/>
      <c r="P179" s="4"/>
    </row>
    <row r="180" spans="1:16" x14ac:dyDescent="0.3">
      <c r="A180" s="23">
        <v>1034</v>
      </c>
      <c r="B180" s="24" t="s">
        <v>82</v>
      </c>
      <c r="C180" s="24" t="s">
        <v>27</v>
      </c>
      <c r="D180" s="24" t="s">
        <v>25</v>
      </c>
      <c r="E180" s="24">
        <v>17</v>
      </c>
      <c r="F180" s="24">
        <v>50</v>
      </c>
      <c r="G180" s="25" t="s">
        <v>83</v>
      </c>
      <c r="H180" s="24">
        <v>850</v>
      </c>
      <c r="I180" s="4"/>
      <c r="J180" s="18" t="str">
        <f t="shared" ca="1" si="3"/>
        <v/>
      </c>
      <c r="K180" s="4"/>
      <c r="L180" s="4"/>
      <c r="M180" s="4"/>
      <c r="N180" s="4"/>
      <c r="O180" s="4"/>
      <c r="P180" s="4"/>
    </row>
    <row r="181" spans="1:16" x14ac:dyDescent="0.3">
      <c r="A181" s="23">
        <v>1035</v>
      </c>
      <c r="B181" s="24" t="s">
        <v>84</v>
      </c>
      <c r="C181" s="24" t="s">
        <v>30</v>
      </c>
      <c r="D181" s="24" t="s">
        <v>28</v>
      </c>
      <c r="E181" s="24">
        <v>19</v>
      </c>
      <c r="F181" s="24">
        <v>10</v>
      </c>
      <c r="G181" s="25" t="s">
        <v>85</v>
      </c>
      <c r="H181" s="24">
        <v>190</v>
      </c>
      <c r="J181" s="9" t="str">
        <f t="shared" ca="1" si="3"/>
        <v/>
      </c>
    </row>
    <row r="182" spans="1:16" x14ac:dyDescent="0.3">
      <c r="A182" s="23">
        <v>1036</v>
      </c>
      <c r="B182" s="24" t="s">
        <v>86</v>
      </c>
      <c r="C182" s="24" t="s">
        <v>33</v>
      </c>
      <c r="D182" s="24" t="s">
        <v>31</v>
      </c>
      <c r="E182" s="24">
        <v>15</v>
      </c>
      <c r="F182" s="24">
        <v>25</v>
      </c>
      <c r="G182" s="25" t="s">
        <v>87</v>
      </c>
      <c r="H182" s="24">
        <v>375</v>
      </c>
      <c r="J182" s="9" t="str">
        <f t="shared" ca="1" si="3"/>
        <v/>
      </c>
    </row>
    <row r="183" spans="1:16" x14ac:dyDescent="0.3">
      <c r="A183" s="23">
        <v>1037</v>
      </c>
      <c r="B183" s="24" t="s">
        <v>88</v>
      </c>
      <c r="C183" s="24" t="s">
        <v>24</v>
      </c>
      <c r="D183" s="24" t="s">
        <v>35</v>
      </c>
      <c r="E183" s="24">
        <v>28</v>
      </c>
      <c r="F183" s="24">
        <v>5</v>
      </c>
      <c r="G183" s="25" t="s">
        <v>89</v>
      </c>
      <c r="H183" s="24">
        <v>140</v>
      </c>
      <c r="J183" s="9" t="str">
        <f t="shared" ca="1" si="3"/>
        <v/>
      </c>
    </row>
    <row r="184" spans="1:16" x14ac:dyDescent="0.3">
      <c r="A184" s="23">
        <v>1038</v>
      </c>
      <c r="B184" s="24" t="s">
        <v>90</v>
      </c>
      <c r="C184" s="24" t="s">
        <v>27</v>
      </c>
      <c r="D184" s="24" t="s">
        <v>38</v>
      </c>
      <c r="E184" s="24">
        <v>24</v>
      </c>
      <c r="F184" s="24">
        <v>8</v>
      </c>
      <c r="G184" s="25" t="s">
        <v>91</v>
      </c>
      <c r="H184" s="24">
        <v>192</v>
      </c>
      <c r="J184" s="9" t="str">
        <f t="shared" ca="1" si="3"/>
        <v/>
      </c>
    </row>
    <row r="185" spans="1:16" x14ac:dyDescent="0.3">
      <c r="A185" s="23">
        <v>1039</v>
      </c>
      <c r="B185" s="24" t="s">
        <v>92</v>
      </c>
      <c r="C185" s="24" t="s">
        <v>30</v>
      </c>
      <c r="D185" s="24" t="s">
        <v>25</v>
      </c>
      <c r="E185" s="24">
        <v>16</v>
      </c>
      <c r="F185" s="24">
        <v>50</v>
      </c>
      <c r="G185" s="25" t="s">
        <v>93</v>
      </c>
      <c r="H185" s="24">
        <v>800</v>
      </c>
      <c r="J185" s="9" t="str">
        <f t="shared" ca="1" si="3"/>
        <v/>
      </c>
    </row>
    <row r="186" spans="1:16" x14ac:dyDescent="0.3">
      <c r="A186" s="23">
        <v>1040</v>
      </c>
      <c r="B186" s="24" t="s">
        <v>94</v>
      </c>
      <c r="C186" s="24" t="s">
        <v>33</v>
      </c>
      <c r="D186" s="24" t="s">
        <v>28</v>
      </c>
      <c r="E186" s="24">
        <v>27</v>
      </c>
      <c r="F186" s="24">
        <v>10</v>
      </c>
      <c r="G186" s="25" t="s">
        <v>95</v>
      </c>
      <c r="H186" s="24">
        <v>270</v>
      </c>
      <c r="J186" s="9" t="str">
        <f t="shared" ca="1" si="3"/>
        <v/>
      </c>
    </row>
    <row r="187" spans="1:16" x14ac:dyDescent="0.3">
      <c r="A187" s="23">
        <v>1041</v>
      </c>
      <c r="B187" s="24" t="s">
        <v>96</v>
      </c>
      <c r="C187" s="24" t="s">
        <v>24</v>
      </c>
      <c r="D187" s="24" t="s">
        <v>31</v>
      </c>
      <c r="E187" s="24">
        <v>21</v>
      </c>
      <c r="F187" s="24">
        <v>25</v>
      </c>
      <c r="G187" s="25" t="s">
        <v>97</v>
      </c>
      <c r="H187" s="24">
        <v>525</v>
      </c>
      <c r="J187" s="9" t="str">
        <f t="shared" ca="1" si="3"/>
        <v/>
      </c>
    </row>
    <row r="188" spans="1:16" x14ac:dyDescent="0.3">
      <c r="A188" s="23">
        <v>1042</v>
      </c>
      <c r="B188" s="24" t="s">
        <v>98</v>
      </c>
      <c r="C188" s="24" t="s">
        <v>27</v>
      </c>
      <c r="D188" s="24" t="s">
        <v>35</v>
      </c>
      <c r="E188" s="24">
        <v>30</v>
      </c>
      <c r="F188" s="24">
        <v>5</v>
      </c>
      <c r="G188" s="25" t="s">
        <v>99</v>
      </c>
      <c r="H188" s="24">
        <v>150</v>
      </c>
      <c r="J188" s="9" t="str">
        <f t="shared" ca="1" si="3"/>
        <v/>
      </c>
    </row>
    <row r="189" spans="1:16" x14ac:dyDescent="0.3">
      <c r="A189" s="23">
        <v>1043</v>
      </c>
      <c r="B189" s="24" t="s">
        <v>100</v>
      </c>
      <c r="C189" s="24" t="s">
        <v>30</v>
      </c>
      <c r="D189" s="24" t="s">
        <v>38</v>
      </c>
      <c r="E189" s="24">
        <v>26</v>
      </c>
      <c r="F189" s="24">
        <v>8</v>
      </c>
      <c r="G189" s="25">
        <v>45294</v>
      </c>
      <c r="H189" s="24">
        <v>208</v>
      </c>
      <c r="J189" s="9" t="str">
        <f t="shared" ca="1" si="3"/>
        <v/>
      </c>
    </row>
    <row r="190" spans="1:16" x14ac:dyDescent="0.3">
      <c r="A190" s="23">
        <v>1044</v>
      </c>
      <c r="B190" s="24" t="s">
        <v>101</v>
      </c>
      <c r="C190" s="24" t="s">
        <v>33</v>
      </c>
      <c r="D190" s="24" t="s">
        <v>25</v>
      </c>
      <c r="E190" s="24">
        <v>14</v>
      </c>
      <c r="F190" s="24">
        <v>50</v>
      </c>
      <c r="G190" s="25">
        <v>45325</v>
      </c>
      <c r="H190" s="24">
        <v>700</v>
      </c>
      <c r="J190" s="9" t="str">
        <f t="shared" ca="1" si="3"/>
        <v/>
      </c>
    </row>
    <row r="191" spans="1:16" x14ac:dyDescent="0.3">
      <c r="A191" s="23">
        <v>1045</v>
      </c>
      <c r="B191" s="24" t="s">
        <v>102</v>
      </c>
      <c r="C191" s="24" t="s">
        <v>24</v>
      </c>
      <c r="D191" s="24" t="s">
        <v>28</v>
      </c>
      <c r="E191" s="24">
        <v>20</v>
      </c>
      <c r="F191" s="24">
        <v>10</v>
      </c>
      <c r="G191" s="25">
        <v>45354</v>
      </c>
      <c r="H191" s="24">
        <v>200</v>
      </c>
      <c r="J191" s="9" t="str">
        <f t="shared" ca="1" si="3"/>
        <v/>
      </c>
    </row>
    <row r="192" spans="1:16" x14ac:dyDescent="0.3">
      <c r="A192" s="23">
        <v>1046</v>
      </c>
      <c r="B192" s="24" t="s">
        <v>103</v>
      </c>
      <c r="C192" s="24" t="s">
        <v>27</v>
      </c>
      <c r="D192" s="24" t="s">
        <v>31</v>
      </c>
      <c r="E192" s="24">
        <v>17</v>
      </c>
      <c r="F192" s="24">
        <v>25</v>
      </c>
      <c r="G192" s="25">
        <v>45385</v>
      </c>
      <c r="H192" s="24">
        <v>425</v>
      </c>
      <c r="J192" s="9" t="str">
        <f t="shared" ca="1" si="3"/>
        <v/>
      </c>
    </row>
    <row r="193" spans="1:15" x14ac:dyDescent="0.3">
      <c r="A193" s="23">
        <v>1047</v>
      </c>
      <c r="B193" s="24" t="s">
        <v>104</v>
      </c>
      <c r="C193" s="24" t="s">
        <v>30</v>
      </c>
      <c r="D193" s="24" t="s">
        <v>35</v>
      </c>
      <c r="E193" s="24">
        <v>19</v>
      </c>
      <c r="F193" s="24">
        <v>5</v>
      </c>
      <c r="G193" s="25">
        <v>45415</v>
      </c>
      <c r="H193" s="24">
        <v>95</v>
      </c>
      <c r="J193" s="9" t="str">
        <f t="shared" ca="1" si="3"/>
        <v/>
      </c>
    </row>
    <row r="194" spans="1:15" x14ac:dyDescent="0.3">
      <c r="A194" s="23">
        <v>1048</v>
      </c>
      <c r="B194" s="24" t="s">
        <v>105</v>
      </c>
      <c r="C194" s="24" t="s">
        <v>33</v>
      </c>
      <c r="D194" s="24" t="s">
        <v>38</v>
      </c>
      <c r="E194" s="24">
        <v>32</v>
      </c>
      <c r="F194" s="24">
        <v>8</v>
      </c>
      <c r="G194" s="25">
        <v>45446</v>
      </c>
      <c r="H194" s="24">
        <v>256</v>
      </c>
      <c r="J194" s="9" t="str">
        <f t="shared" ca="1" si="3"/>
        <v/>
      </c>
    </row>
    <row r="195" spans="1:15" x14ac:dyDescent="0.3">
      <c r="A195" s="23">
        <v>1049</v>
      </c>
      <c r="B195" s="24" t="s">
        <v>106</v>
      </c>
      <c r="C195" s="24" t="s">
        <v>24</v>
      </c>
      <c r="D195" s="24" t="s">
        <v>25</v>
      </c>
      <c r="E195" s="24">
        <v>12</v>
      </c>
      <c r="F195" s="24">
        <v>50</v>
      </c>
      <c r="G195" s="25">
        <v>45476</v>
      </c>
      <c r="H195" s="24">
        <v>600</v>
      </c>
      <c r="J195" s="9" t="str">
        <f t="shared" ca="1" si="3"/>
        <v/>
      </c>
    </row>
    <row r="196" spans="1:15" x14ac:dyDescent="0.3">
      <c r="A196" s="23">
        <v>1050</v>
      </c>
      <c r="B196" s="24" t="s">
        <v>107</v>
      </c>
      <c r="C196" s="24" t="s">
        <v>27</v>
      </c>
      <c r="D196" s="24" t="s">
        <v>28</v>
      </c>
      <c r="E196" s="24">
        <v>25</v>
      </c>
      <c r="F196" s="24">
        <v>10</v>
      </c>
      <c r="G196" s="25">
        <v>45507</v>
      </c>
      <c r="H196" s="24">
        <v>250</v>
      </c>
      <c r="J196" s="9" t="str">
        <f t="shared" ca="1" si="3"/>
        <v/>
      </c>
    </row>
    <row r="197" spans="1:15" x14ac:dyDescent="0.3">
      <c r="A197" s="24"/>
      <c r="B197" s="24"/>
      <c r="C197" s="24"/>
      <c r="D197" s="24"/>
      <c r="E197" s="24"/>
      <c r="F197" s="24"/>
      <c r="G197" s="24"/>
      <c r="H197" s="24"/>
      <c r="J197" s="9" t="str">
        <f t="shared" ca="1" si="3"/>
        <v/>
      </c>
    </row>
    <row r="198" spans="1:15" x14ac:dyDescent="0.3">
      <c r="J198" s="9" t="str">
        <f t="shared" ca="1" si="3"/>
        <v/>
      </c>
    </row>
    <row r="199" spans="1:15" x14ac:dyDescent="0.3">
      <c r="A199" s="1" t="s">
        <v>113</v>
      </c>
      <c r="J199" s="9" t="str">
        <f t="shared" ca="1" si="3"/>
        <v/>
      </c>
    </row>
    <row r="200" spans="1:15" x14ac:dyDescent="0.3">
      <c r="J200" s="9" t="str">
        <f t="shared" ca="1" si="3"/>
        <v/>
      </c>
    </row>
    <row r="201" spans="1:15" x14ac:dyDescent="0.3">
      <c r="A201" s="2" t="s">
        <v>16</v>
      </c>
      <c r="B201" s="2" t="s">
        <v>17</v>
      </c>
      <c r="C201" s="2" t="s">
        <v>18</v>
      </c>
      <c r="D201" s="2" t="s">
        <v>19</v>
      </c>
      <c r="E201" s="2" t="s">
        <v>20</v>
      </c>
      <c r="F201" s="2" t="s">
        <v>21</v>
      </c>
      <c r="G201" s="26" t="s">
        <v>22</v>
      </c>
      <c r="H201" s="2" t="s">
        <v>110</v>
      </c>
      <c r="I201" s="4"/>
      <c r="J201" s="18" t="str">
        <f t="shared" ca="1" si="3"/>
        <v/>
      </c>
      <c r="K201" s="4"/>
      <c r="L201" s="4"/>
      <c r="M201" s="4"/>
      <c r="N201" s="4"/>
      <c r="O201" s="4"/>
    </row>
    <row r="202" spans="1:15" x14ac:dyDescent="0.3">
      <c r="A202" s="2">
        <v>1001</v>
      </c>
      <c r="B202" s="2" t="s">
        <v>23</v>
      </c>
      <c r="C202" s="2" t="s">
        <v>24</v>
      </c>
      <c r="D202" s="2" t="s">
        <v>25</v>
      </c>
      <c r="E202" s="2">
        <v>10</v>
      </c>
      <c r="F202" s="2">
        <v>50</v>
      </c>
      <c r="G202" s="26">
        <v>45413</v>
      </c>
      <c r="H202" s="2">
        <v>500</v>
      </c>
      <c r="I202" s="4"/>
      <c r="J202" s="18" t="str">
        <f t="shared" ref="J202:J252" ca="1" si="4">IF(_xlfn.ISFORMULA(A202), _xlfn.FORMULATEXT(A202), "")</f>
        <v/>
      </c>
      <c r="K202" s="4"/>
      <c r="L202" s="4"/>
      <c r="M202" s="4"/>
      <c r="N202" s="4"/>
      <c r="O202" s="4"/>
    </row>
    <row r="203" spans="1:15" x14ac:dyDescent="0.3">
      <c r="A203" s="2">
        <v>1002</v>
      </c>
      <c r="B203" s="2" t="s">
        <v>26</v>
      </c>
      <c r="C203" s="2" t="s">
        <v>27</v>
      </c>
      <c r="D203" s="2" t="s">
        <v>28</v>
      </c>
      <c r="E203" s="2">
        <v>20</v>
      </c>
      <c r="F203" s="2">
        <v>10</v>
      </c>
      <c r="G203" s="26">
        <v>45444</v>
      </c>
      <c r="H203" s="2">
        <v>200</v>
      </c>
      <c r="I203" s="4"/>
      <c r="J203" s="18" t="str">
        <f t="shared" ca="1" si="4"/>
        <v/>
      </c>
      <c r="K203" s="4"/>
      <c r="L203" s="4"/>
      <c r="M203" s="4"/>
      <c r="N203" s="4"/>
      <c r="O203" s="4"/>
    </row>
    <row r="204" spans="1:15" x14ac:dyDescent="0.3">
      <c r="A204" s="2">
        <v>1003</v>
      </c>
      <c r="B204" s="2" t="s">
        <v>29</v>
      </c>
      <c r="C204" s="2" t="s">
        <v>30</v>
      </c>
      <c r="D204" s="2" t="s">
        <v>31</v>
      </c>
      <c r="E204" s="2">
        <v>15</v>
      </c>
      <c r="F204" s="2">
        <v>25</v>
      </c>
      <c r="G204" s="26">
        <v>45474</v>
      </c>
      <c r="H204" s="2">
        <v>375</v>
      </c>
      <c r="I204" s="4"/>
      <c r="J204" s="18" t="str">
        <f t="shared" ca="1" si="4"/>
        <v/>
      </c>
      <c r="K204" s="4"/>
      <c r="L204" s="4"/>
      <c r="M204" s="4"/>
      <c r="N204" s="4"/>
      <c r="O204" s="4"/>
    </row>
    <row r="205" spans="1:15" x14ac:dyDescent="0.3">
      <c r="A205" s="2">
        <v>1004</v>
      </c>
      <c r="B205" s="2" t="s">
        <v>32</v>
      </c>
      <c r="C205" s="2" t="s">
        <v>33</v>
      </c>
      <c r="D205" s="2" t="s">
        <v>25</v>
      </c>
      <c r="E205" s="2">
        <v>5</v>
      </c>
      <c r="F205" s="2">
        <v>50</v>
      </c>
      <c r="G205" s="26">
        <v>45505</v>
      </c>
      <c r="H205" s="2">
        <v>250</v>
      </c>
      <c r="I205" s="4"/>
      <c r="J205" s="18" t="str">
        <f t="shared" ca="1" si="4"/>
        <v/>
      </c>
      <c r="K205" s="4"/>
      <c r="L205" s="4"/>
      <c r="M205" s="4"/>
      <c r="N205" s="4"/>
      <c r="O205" s="4"/>
    </row>
    <row r="206" spans="1:15" x14ac:dyDescent="0.3">
      <c r="A206" s="2">
        <v>1005</v>
      </c>
      <c r="B206" s="2" t="s">
        <v>34</v>
      </c>
      <c r="C206" s="2" t="s">
        <v>24</v>
      </c>
      <c r="D206" s="2" t="s">
        <v>35</v>
      </c>
      <c r="E206" s="2">
        <v>30</v>
      </c>
      <c r="F206" s="2">
        <v>5</v>
      </c>
      <c r="G206" s="26">
        <v>45566</v>
      </c>
      <c r="H206" s="2">
        <v>150</v>
      </c>
      <c r="I206" s="4"/>
      <c r="J206" s="18" t="str">
        <f t="shared" ca="1" si="4"/>
        <v/>
      </c>
      <c r="K206" s="4"/>
      <c r="L206" s="4"/>
      <c r="M206" s="4"/>
      <c r="N206" s="4"/>
      <c r="O206" s="4"/>
    </row>
    <row r="207" spans="1:15" x14ac:dyDescent="0.3">
      <c r="A207" s="2">
        <v>1006</v>
      </c>
      <c r="B207" s="2" t="s">
        <v>36</v>
      </c>
      <c r="C207" s="2" t="s">
        <v>27</v>
      </c>
      <c r="D207" s="2" t="s">
        <v>25</v>
      </c>
      <c r="E207" s="2">
        <v>12</v>
      </c>
      <c r="F207" s="2">
        <v>50</v>
      </c>
      <c r="G207" s="26">
        <v>45597</v>
      </c>
      <c r="H207" s="2">
        <v>600</v>
      </c>
      <c r="I207" s="4"/>
      <c r="J207" s="18" t="str">
        <f t="shared" ca="1" si="4"/>
        <v/>
      </c>
      <c r="K207" s="4"/>
      <c r="L207" s="4"/>
      <c r="M207" s="4"/>
      <c r="N207" s="4"/>
      <c r="O207" s="4"/>
    </row>
    <row r="208" spans="1:15" x14ac:dyDescent="0.3">
      <c r="A208" s="2">
        <v>1007</v>
      </c>
      <c r="B208" s="2" t="s">
        <v>37</v>
      </c>
      <c r="C208" s="2" t="s">
        <v>30</v>
      </c>
      <c r="D208" s="2" t="s">
        <v>38</v>
      </c>
      <c r="E208" s="2">
        <v>25</v>
      </c>
      <c r="F208" s="2">
        <v>8</v>
      </c>
      <c r="G208" s="26" t="s">
        <v>39</v>
      </c>
      <c r="H208" s="2">
        <v>200</v>
      </c>
      <c r="I208" s="4"/>
      <c r="J208" s="18" t="str">
        <f t="shared" ca="1" si="4"/>
        <v/>
      </c>
      <c r="K208" s="4"/>
      <c r="L208" s="4"/>
      <c r="M208" s="4"/>
      <c r="N208" s="4"/>
      <c r="O208" s="4"/>
    </row>
    <row r="209" spans="1:15" x14ac:dyDescent="0.3">
      <c r="A209" s="2">
        <v>1008</v>
      </c>
      <c r="B209" s="2" t="s">
        <v>40</v>
      </c>
      <c r="C209" s="2" t="s">
        <v>33</v>
      </c>
      <c r="D209" s="2" t="s">
        <v>28</v>
      </c>
      <c r="E209" s="2">
        <v>18</v>
      </c>
      <c r="F209" s="2">
        <v>10</v>
      </c>
      <c r="G209" s="26" t="s">
        <v>41</v>
      </c>
      <c r="H209" s="2">
        <v>180</v>
      </c>
      <c r="I209" s="4"/>
      <c r="J209" s="18" t="str">
        <f t="shared" ca="1" si="4"/>
        <v/>
      </c>
      <c r="K209" s="4"/>
      <c r="L209" s="4"/>
      <c r="M209" s="4"/>
      <c r="N209" s="4"/>
      <c r="O209" s="4"/>
    </row>
    <row r="210" spans="1:15" x14ac:dyDescent="0.3">
      <c r="A210" s="2">
        <v>1009</v>
      </c>
      <c r="B210" s="2" t="s">
        <v>42</v>
      </c>
      <c r="C210" s="2" t="s">
        <v>24</v>
      </c>
      <c r="D210" s="2" t="s">
        <v>31</v>
      </c>
      <c r="E210" s="2">
        <v>22</v>
      </c>
      <c r="F210" s="2">
        <v>25</v>
      </c>
      <c r="G210" s="26" t="s">
        <v>43</v>
      </c>
      <c r="H210" s="2">
        <v>550</v>
      </c>
      <c r="I210" s="4"/>
      <c r="J210" s="18" t="str">
        <f t="shared" ca="1" si="4"/>
        <v/>
      </c>
      <c r="K210" s="4"/>
      <c r="L210" s="4"/>
      <c r="M210" s="4"/>
      <c r="N210" s="4"/>
      <c r="O210" s="4"/>
    </row>
    <row r="211" spans="1:15" x14ac:dyDescent="0.3">
      <c r="A211" s="2">
        <v>1010</v>
      </c>
      <c r="B211" s="2" t="s">
        <v>44</v>
      </c>
      <c r="C211" s="2" t="s">
        <v>27</v>
      </c>
      <c r="D211" s="2" t="s">
        <v>25</v>
      </c>
      <c r="E211" s="2">
        <v>8</v>
      </c>
      <c r="F211" s="2">
        <v>50</v>
      </c>
      <c r="G211" s="26" t="s">
        <v>45</v>
      </c>
      <c r="H211" s="2">
        <v>400</v>
      </c>
      <c r="I211" s="4"/>
      <c r="J211" s="18" t="str">
        <f t="shared" ca="1" si="4"/>
        <v/>
      </c>
      <c r="K211" s="4"/>
      <c r="L211" s="4"/>
      <c r="M211" s="4"/>
      <c r="N211" s="4"/>
      <c r="O211" s="4"/>
    </row>
    <row r="212" spans="1:15" x14ac:dyDescent="0.3">
      <c r="A212" s="2">
        <v>1011</v>
      </c>
      <c r="B212" s="2" t="s">
        <v>46</v>
      </c>
      <c r="C212" s="2" t="s">
        <v>30</v>
      </c>
      <c r="D212" s="2" t="s">
        <v>35</v>
      </c>
      <c r="E212" s="2">
        <v>40</v>
      </c>
      <c r="F212" s="2">
        <v>5</v>
      </c>
      <c r="G212" s="26" t="s">
        <v>47</v>
      </c>
      <c r="H212" s="2">
        <v>200</v>
      </c>
      <c r="I212" s="4"/>
      <c r="J212" s="18" t="str">
        <f t="shared" ca="1" si="4"/>
        <v/>
      </c>
      <c r="K212" s="4"/>
      <c r="L212" s="4"/>
      <c r="M212" s="4"/>
      <c r="N212" s="4"/>
      <c r="O212" s="4"/>
    </row>
    <row r="213" spans="1:15" x14ac:dyDescent="0.3">
      <c r="A213" s="2">
        <v>1012</v>
      </c>
      <c r="B213" s="2" t="s">
        <v>48</v>
      </c>
      <c r="C213" s="2" t="s">
        <v>33</v>
      </c>
      <c r="D213" s="2" t="s">
        <v>38</v>
      </c>
      <c r="E213" s="2">
        <v>35</v>
      </c>
      <c r="F213" s="2">
        <v>8</v>
      </c>
      <c r="G213" s="26" t="s">
        <v>49</v>
      </c>
      <c r="H213" s="2">
        <v>280</v>
      </c>
      <c r="I213" s="4"/>
      <c r="J213" s="18" t="str">
        <f t="shared" ca="1" si="4"/>
        <v/>
      </c>
      <c r="K213" s="4"/>
      <c r="L213" s="4"/>
      <c r="M213" s="4"/>
      <c r="N213" s="4"/>
      <c r="O213" s="4"/>
    </row>
    <row r="214" spans="1:15" x14ac:dyDescent="0.3">
      <c r="A214" s="2">
        <v>1013</v>
      </c>
      <c r="B214" s="2" t="s">
        <v>50</v>
      </c>
      <c r="C214" s="2" t="s">
        <v>24</v>
      </c>
      <c r="D214" s="2" t="s">
        <v>25</v>
      </c>
      <c r="E214" s="2">
        <v>14</v>
      </c>
      <c r="F214" s="2">
        <v>50</v>
      </c>
      <c r="G214" s="26" t="s">
        <v>51</v>
      </c>
      <c r="H214" s="2">
        <v>700</v>
      </c>
      <c r="I214" s="4"/>
      <c r="J214" s="18" t="str">
        <f t="shared" ca="1" si="4"/>
        <v/>
      </c>
      <c r="K214" s="4"/>
      <c r="L214" s="4"/>
      <c r="M214" s="4"/>
      <c r="N214" s="4"/>
      <c r="O214" s="4"/>
    </row>
    <row r="215" spans="1:15" x14ac:dyDescent="0.3">
      <c r="A215" s="2">
        <v>1014</v>
      </c>
      <c r="B215" s="2" t="s">
        <v>52</v>
      </c>
      <c r="C215" s="2" t="s">
        <v>27</v>
      </c>
      <c r="D215" s="2" t="s">
        <v>28</v>
      </c>
      <c r="E215" s="2">
        <v>28</v>
      </c>
      <c r="F215" s="2">
        <v>10</v>
      </c>
      <c r="G215" s="26" t="s">
        <v>53</v>
      </c>
      <c r="H215" s="2">
        <v>280</v>
      </c>
      <c r="I215" s="4"/>
      <c r="J215" s="18" t="str">
        <f t="shared" ca="1" si="4"/>
        <v/>
      </c>
      <c r="K215" s="4"/>
      <c r="L215" s="4"/>
      <c r="M215" s="4"/>
      <c r="N215" s="4"/>
      <c r="O215" s="4"/>
    </row>
    <row r="216" spans="1:15" x14ac:dyDescent="0.3">
      <c r="A216" s="2">
        <v>1015</v>
      </c>
      <c r="B216" s="2" t="s">
        <v>54</v>
      </c>
      <c r="C216" s="2" t="s">
        <v>30</v>
      </c>
      <c r="D216" s="2" t="s">
        <v>31</v>
      </c>
      <c r="E216" s="2">
        <v>12</v>
      </c>
      <c r="F216" s="2">
        <v>25</v>
      </c>
      <c r="G216" s="26" t="s">
        <v>55</v>
      </c>
      <c r="H216" s="2">
        <v>300</v>
      </c>
      <c r="I216" s="4"/>
      <c r="J216" s="18" t="str">
        <f t="shared" ca="1" si="4"/>
        <v/>
      </c>
      <c r="K216" s="4"/>
      <c r="L216" s="4"/>
      <c r="M216" s="4"/>
      <c r="N216" s="4"/>
      <c r="O216" s="4"/>
    </row>
    <row r="217" spans="1:15" x14ac:dyDescent="0.3">
      <c r="A217" s="2">
        <v>1016</v>
      </c>
      <c r="B217" s="2" t="s">
        <v>56</v>
      </c>
      <c r="C217" s="2" t="s">
        <v>33</v>
      </c>
      <c r="D217" s="2" t="s">
        <v>35</v>
      </c>
      <c r="E217" s="2">
        <v>25</v>
      </c>
      <c r="F217" s="2">
        <v>5</v>
      </c>
      <c r="G217" s="26" t="s">
        <v>57</v>
      </c>
      <c r="H217" s="2">
        <v>125</v>
      </c>
      <c r="I217" s="4"/>
      <c r="J217" s="18" t="str">
        <f t="shared" ca="1" si="4"/>
        <v/>
      </c>
      <c r="K217" s="4"/>
      <c r="L217" s="4"/>
      <c r="M217" s="4"/>
      <c r="N217" s="4"/>
      <c r="O217" s="4"/>
    </row>
    <row r="218" spans="1:15" x14ac:dyDescent="0.3">
      <c r="A218" s="2">
        <v>1017</v>
      </c>
      <c r="B218" s="2" t="s">
        <v>58</v>
      </c>
      <c r="C218" s="2" t="s">
        <v>24</v>
      </c>
      <c r="D218" s="2" t="s">
        <v>38</v>
      </c>
      <c r="E218" s="2">
        <v>20</v>
      </c>
      <c r="F218" s="2">
        <v>8</v>
      </c>
      <c r="G218" s="26" t="s">
        <v>59</v>
      </c>
      <c r="H218" s="2">
        <v>160</v>
      </c>
      <c r="I218" s="4"/>
      <c r="J218" s="18" t="str">
        <f t="shared" ca="1" si="4"/>
        <v/>
      </c>
      <c r="K218" s="4"/>
      <c r="L218" s="4"/>
      <c r="M218" s="4"/>
      <c r="N218" s="4"/>
      <c r="O218" s="4"/>
    </row>
    <row r="219" spans="1:15" x14ac:dyDescent="0.3">
      <c r="A219" s="2">
        <v>1018</v>
      </c>
      <c r="B219" s="2" t="s">
        <v>60</v>
      </c>
      <c r="C219" s="2" t="s">
        <v>27</v>
      </c>
      <c r="D219" s="2" t="s">
        <v>25</v>
      </c>
      <c r="E219" s="2">
        <v>10</v>
      </c>
      <c r="F219" s="2">
        <v>50</v>
      </c>
      <c r="G219" s="26" t="s">
        <v>61</v>
      </c>
      <c r="H219" s="2">
        <v>500</v>
      </c>
      <c r="I219" s="4"/>
      <c r="J219" s="18" t="str">
        <f t="shared" ca="1" si="4"/>
        <v/>
      </c>
      <c r="K219" s="4"/>
      <c r="L219" s="4"/>
      <c r="M219" s="4"/>
      <c r="N219" s="4"/>
      <c r="O219" s="4"/>
    </row>
    <row r="220" spans="1:15" x14ac:dyDescent="0.3">
      <c r="A220" s="2">
        <v>1019</v>
      </c>
      <c r="B220" s="2" t="s">
        <v>62</v>
      </c>
      <c r="C220" s="2" t="s">
        <v>30</v>
      </c>
      <c r="D220" s="2" t="s">
        <v>28</v>
      </c>
      <c r="E220" s="2">
        <v>15</v>
      </c>
      <c r="F220" s="2">
        <v>10</v>
      </c>
      <c r="G220" s="26" t="s">
        <v>63</v>
      </c>
      <c r="H220" s="2">
        <v>150</v>
      </c>
      <c r="J220" s="9" t="str">
        <f t="shared" ca="1" si="4"/>
        <v/>
      </c>
    </row>
    <row r="221" spans="1:15" x14ac:dyDescent="0.3">
      <c r="A221" s="2">
        <v>1020</v>
      </c>
      <c r="B221" s="2" t="s">
        <v>64</v>
      </c>
      <c r="C221" s="2" t="s">
        <v>33</v>
      </c>
      <c r="D221" s="2" t="s">
        <v>31</v>
      </c>
      <c r="E221" s="2">
        <v>18</v>
      </c>
      <c r="F221" s="2">
        <v>25</v>
      </c>
      <c r="G221" s="26">
        <v>45293</v>
      </c>
      <c r="H221" s="2">
        <v>450</v>
      </c>
      <c r="J221" s="9" t="str">
        <f t="shared" ca="1" si="4"/>
        <v/>
      </c>
    </row>
    <row r="222" spans="1:15" x14ac:dyDescent="0.3">
      <c r="A222" s="2">
        <v>1021</v>
      </c>
      <c r="B222" s="2" t="s">
        <v>65</v>
      </c>
      <c r="C222" s="2" t="s">
        <v>24</v>
      </c>
      <c r="D222" s="2" t="s">
        <v>25</v>
      </c>
      <c r="E222" s="2">
        <v>9</v>
      </c>
      <c r="F222" s="2">
        <v>50</v>
      </c>
      <c r="G222" s="26">
        <v>45324</v>
      </c>
      <c r="H222" s="2">
        <v>450</v>
      </c>
      <c r="J222" s="9" t="str">
        <f t="shared" ca="1" si="4"/>
        <v/>
      </c>
    </row>
    <row r="223" spans="1:15" x14ac:dyDescent="0.3">
      <c r="A223" s="2">
        <v>1022</v>
      </c>
      <c r="B223" s="2" t="s">
        <v>66</v>
      </c>
      <c r="C223" s="2" t="s">
        <v>27</v>
      </c>
      <c r="D223" s="2" t="s">
        <v>35</v>
      </c>
      <c r="E223" s="2">
        <v>35</v>
      </c>
      <c r="F223" s="2">
        <v>5</v>
      </c>
      <c r="G223" s="26">
        <v>45353</v>
      </c>
      <c r="H223" s="2">
        <v>175</v>
      </c>
      <c r="J223" s="9" t="str">
        <f t="shared" ca="1" si="4"/>
        <v/>
      </c>
    </row>
    <row r="224" spans="1:15" x14ac:dyDescent="0.3">
      <c r="A224" s="2">
        <v>1023</v>
      </c>
      <c r="B224" s="2" t="s">
        <v>67</v>
      </c>
      <c r="C224" s="2" t="s">
        <v>30</v>
      </c>
      <c r="D224" s="2" t="s">
        <v>38</v>
      </c>
      <c r="E224" s="2">
        <v>30</v>
      </c>
      <c r="F224" s="2">
        <v>8</v>
      </c>
      <c r="G224" s="26">
        <v>45384</v>
      </c>
      <c r="H224" s="2">
        <v>240</v>
      </c>
      <c r="J224" s="9" t="str">
        <f t="shared" ca="1" si="4"/>
        <v/>
      </c>
    </row>
    <row r="225" spans="1:10" x14ac:dyDescent="0.3">
      <c r="A225" s="2">
        <v>1024</v>
      </c>
      <c r="B225" s="2" t="s">
        <v>68</v>
      </c>
      <c r="C225" s="2" t="s">
        <v>33</v>
      </c>
      <c r="D225" s="2" t="s">
        <v>25</v>
      </c>
      <c r="E225" s="2">
        <v>11</v>
      </c>
      <c r="F225" s="2">
        <v>50</v>
      </c>
      <c r="G225" s="26">
        <v>45445</v>
      </c>
      <c r="H225" s="2">
        <v>550</v>
      </c>
      <c r="J225" s="9" t="str">
        <f t="shared" ca="1" si="4"/>
        <v/>
      </c>
    </row>
    <row r="226" spans="1:10" x14ac:dyDescent="0.3">
      <c r="A226" s="2">
        <v>1025</v>
      </c>
      <c r="B226" s="2" t="s">
        <v>69</v>
      </c>
      <c r="C226" s="2" t="s">
        <v>24</v>
      </c>
      <c r="D226" s="2" t="s">
        <v>28</v>
      </c>
      <c r="E226" s="2">
        <v>14</v>
      </c>
      <c r="F226" s="2">
        <v>10</v>
      </c>
      <c r="G226" s="26">
        <v>45475</v>
      </c>
      <c r="H226" s="2">
        <v>140</v>
      </c>
      <c r="J226" s="9" t="str">
        <f t="shared" ca="1" si="4"/>
        <v/>
      </c>
    </row>
    <row r="227" spans="1:10" x14ac:dyDescent="0.3">
      <c r="A227" s="2">
        <v>1026</v>
      </c>
      <c r="B227" s="2" t="s">
        <v>70</v>
      </c>
      <c r="C227" s="2" t="s">
        <v>27</v>
      </c>
      <c r="D227" s="2" t="s">
        <v>31</v>
      </c>
      <c r="E227" s="2">
        <v>16</v>
      </c>
      <c r="F227" s="2">
        <v>25</v>
      </c>
      <c r="G227" s="26">
        <v>45506</v>
      </c>
      <c r="H227" s="2">
        <v>400</v>
      </c>
      <c r="J227" s="9" t="str">
        <f t="shared" ca="1" si="4"/>
        <v/>
      </c>
    </row>
    <row r="228" spans="1:10" x14ac:dyDescent="0.3">
      <c r="A228" s="2">
        <v>1027</v>
      </c>
      <c r="B228" s="2" t="s">
        <v>71</v>
      </c>
      <c r="C228" s="2" t="s">
        <v>30</v>
      </c>
      <c r="D228" s="2" t="s">
        <v>35</v>
      </c>
      <c r="E228" s="2">
        <v>22</v>
      </c>
      <c r="F228" s="2">
        <v>5</v>
      </c>
      <c r="G228" s="26">
        <v>45537</v>
      </c>
      <c r="H228" s="2">
        <v>110</v>
      </c>
      <c r="J228" s="9" t="str">
        <f t="shared" ca="1" si="4"/>
        <v/>
      </c>
    </row>
    <row r="229" spans="1:10" x14ac:dyDescent="0.3">
      <c r="A229" s="2">
        <v>1028</v>
      </c>
      <c r="B229" s="2" t="s">
        <v>72</v>
      </c>
      <c r="C229" s="2" t="s">
        <v>33</v>
      </c>
      <c r="D229" s="2" t="s">
        <v>38</v>
      </c>
      <c r="E229" s="2">
        <v>27</v>
      </c>
      <c r="F229" s="2">
        <v>8</v>
      </c>
      <c r="G229" s="26">
        <v>45567</v>
      </c>
      <c r="H229" s="2">
        <v>216</v>
      </c>
      <c r="J229" s="9" t="str">
        <f t="shared" ca="1" si="4"/>
        <v/>
      </c>
    </row>
    <row r="230" spans="1:10" x14ac:dyDescent="0.3">
      <c r="A230" s="2">
        <v>1029</v>
      </c>
      <c r="B230" s="2" t="s">
        <v>73</v>
      </c>
      <c r="C230" s="2" t="s">
        <v>24</v>
      </c>
      <c r="D230" s="2" t="s">
        <v>25</v>
      </c>
      <c r="E230" s="2">
        <v>13</v>
      </c>
      <c r="F230" s="2">
        <v>50</v>
      </c>
      <c r="G230" s="26">
        <v>45628</v>
      </c>
      <c r="H230" s="2">
        <v>650</v>
      </c>
      <c r="J230" s="9" t="str">
        <f t="shared" ca="1" si="4"/>
        <v/>
      </c>
    </row>
    <row r="231" spans="1:10" x14ac:dyDescent="0.3">
      <c r="A231" s="2">
        <v>1030</v>
      </c>
      <c r="B231" s="2" t="s">
        <v>74</v>
      </c>
      <c r="C231" s="2" t="s">
        <v>27</v>
      </c>
      <c r="D231" s="2" t="s">
        <v>28</v>
      </c>
      <c r="E231" s="2">
        <v>32</v>
      </c>
      <c r="F231" s="2">
        <v>10</v>
      </c>
      <c r="G231" s="26" t="s">
        <v>75</v>
      </c>
      <c r="H231" s="2">
        <v>320</v>
      </c>
      <c r="J231" s="9" t="str">
        <f t="shared" ca="1" si="4"/>
        <v/>
      </c>
    </row>
    <row r="232" spans="1:10" x14ac:dyDescent="0.3">
      <c r="A232" s="2">
        <v>1031</v>
      </c>
      <c r="B232" s="2" t="s">
        <v>76</v>
      </c>
      <c r="C232" s="2" t="s">
        <v>30</v>
      </c>
      <c r="D232" s="2" t="s">
        <v>31</v>
      </c>
      <c r="E232" s="2">
        <v>10</v>
      </c>
      <c r="F232" s="2">
        <v>25</v>
      </c>
      <c r="G232" s="26" t="s">
        <v>77</v>
      </c>
      <c r="H232" s="2">
        <v>250</v>
      </c>
      <c r="J232" s="9" t="str">
        <f t="shared" ca="1" si="4"/>
        <v/>
      </c>
    </row>
    <row r="233" spans="1:10" x14ac:dyDescent="0.3">
      <c r="A233" s="2">
        <v>1032</v>
      </c>
      <c r="B233" s="2" t="s">
        <v>78</v>
      </c>
      <c r="C233" s="2" t="s">
        <v>33</v>
      </c>
      <c r="D233" s="2" t="s">
        <v>35</v>
      </c>
      <c r="E233" s="2">
        <v>18</v>
      </c>
      <c r="F233" s="2">
        <v>5</v>
      </c>
      <c r="G233" s="26" t="s">
        <v>79</v>
      </c>
      <c r="H233" s="2">
        <v>90</v>
      </c>
      <c r="J233" s="9" t="str">
        <f t="shared" ca="1" si="4"/>
        <v/>
      </c>
    </row>
    <row r="234" spans="1:10" x14ac:dyDescent="0.3">
      <c r="A234" s="2">
        <v>1033</v>
      </c>
      <c r="B234" s="2" t="s">
        <v>80</v>
      </c>
      <c r="C234" s="2" t="s">
        <v>24</v>
      </c>
      <c r="D234" s="2" t="s">
        <v>38</v>
      </c>
      <c r="E234" s="2">
        <v>22</v>
      </c>
      <c r="F234" s="2">
        <v>8</v>
      </c>
      <c r="G234" s="26" t="s">
        <v>81</v>
      </c>
      <c r="H234" s="2">
        <v>176</v>
      </c>
      <c r="J234" s="9" t="str">
        <f t="shared" ca="1" si="4"/>
        <v/>
      </c>
    </row>
    <row r="235" spans="1:10" x14ac:dyDescent="0.3">
      <c r="A235" s="2">
        <v>1034</v>
      </c>
      <c r="B235" s="2" t="s">
        <v>82</v>
      </c>
      <c r="C235" s="2" t="s">
        <v>27</v>
      </c>
      <c r="D235" s="2" t="s">
        <v>25</v>
      </c>
      <c r="E235" s="2">
        <v>17</v>
      </c>
      <c r="F235" s="2">
        <v>50</v>
      </c>
      <c r="G235" s="26" t="s">
        <v>83</v>
      </c>
      <c r="H235" s="2">
        <v>850</v>
      </c>
      <c r="J235" s="9" t="str">
        <f t="shared" ca="1" si="4"/>
        <v/>
      </c>
    </row>
    <row r="236" spans="1:10" x14ac:dyDescent="0.3">
      <c r="A236" s="2">
        <v>1035</v>
      </c>
      <c r="B236" s="2" t="s">
        <v>84</v>
      </c>
      <c r="C236" s="2" t="s">
        <v>30</v>
      </c>
      <c r="D236" s="2" t="s">
        <v>28</v>
      </c>
      <c r="E236" s="2">
        <v>19</v>
      </c>
      <c r="F236" s="2">
        <v>10</v>
      </c>
      <c r="G236" s="26" t="s">
        <v>85</v>
      </c>
      <c r="H236" s="2">
        <v>190</v>
      </c>
      <c r="J236" s="9" t="str">
        <f t="shared" ca="1" si="4"/>
        <v/>
      </c>
    </row>
    <row r="237" spans="1:10" x14ac:dyDescent="0.3">
      <c r="A237" s="2">
        <v>1036</v>
      </c>
      <c r="B237" s="2" t="s">
        <v>86</v>
      </c>
      <c r="C237" s="2" t="s">
        <v>33</v>
      </c>
      <c r="D237" s="2" t="s">
        <v>31</v>
      </c>
      <c r="E237" s="2">
        <v>15</v>
      </c>
      <c r="F237" s="2">
        <v>25</v>
      </c>
      <c r="G237" s="26" t="s">
        <v>87</v>
      </c>
      <c r="H237" s="2">
        <v>375</v>
      </c>
      <c r="J237" s="9" t="str">
        <f t="shared" ca="1" si="4"/>
        <v/>
      </c>
    </row>
    <row r="238" spans="1:10" x14ac:dyDescent="0.3">
      <c r="A238" s="2">
        <v>1037</v>
      </c>
      <c r="B238" s="2" t="s">
        <v>88</v>
      </c>
      <c r="C238" s="2" t="s">
        <v>24</v>
      </c>
      <c r="D238" s="2" t="s">
        <v>35</v>
      </c>
      <c r="E238" s="2">
        <v>28</v>
      </c>
      <c r="F238" s="2">
        <v>5</v>
      </c>
      <c r="G238" s="26" t="s">
        <v>89</v>
      </c>
      <c r="H238" s="2">
        <v>140</v>
      </c>
      <c r="J238" s="9" t="str">
        <f t="shared" ca="1" si="4"/>
        <v/>
      </c>
    </row>
    <row r="239" spans="1:10" x14ac:dyDescent="0.3">
      <c r="A239" s="2">
        <v>1038</v>
      </c>
      <c r="B239" s="2" t="s">
        <v>90</v>
      </c>
      <c r="C239" s="2" t="s">
        <v>27</v>
      </c>
      <c r="D239" s="2" t="s">
        <v>38</v>
      </c>
      <c r="E239" s="2">
        <v>24</v>
      </c>
      <c r="F239" s="2">
        <v>8</v>
      </c>
      <c r="G239" s="26" t="s">
        <v>91</v>
      </c>
      <c r="H239" s="2">
        <v>192</v>
      </c>
      <c r="J239" s="9" t="str">
        <f t="shared" ca="1" si="4"/>
        <v/>
      </c>
    </row>
    <row r="240" spans="1:10" x14ac:dyDescent="0.3">
      <c r="A240" s="2">
        <v>1039</v>
      </c>
      <c r="B240" s="2" t="s">
        <v>92</v>
      </c>
      <c r="C240" s="2" t="s">
        <v>30</v>
      </c>
      <c r="D240" s="2" t="s">
        <v>25</v>
      </c>
      <c r="E240" s="2">
        <v>16</v>
      </c>
      <c r="F240" s="2">
        <v>50</v>
      </c>
      <c r="G240" s="26" t="s">
        <v>93</v>
      </c>
      <c r="H240" s="2">
        <v>800</v>
      </c>
      <c r="J240" s="9" t="str">
        <f t="shared" ca="1" si="4"/>
        <v/>
      </c>
    </row>
    <row r="241" spans="1:10" x14ac:dyDescent="0.3">
      <c r="A241" s="2">
        <v>1040</v>
      </c>
      <c r="B241" s="2" t="s">
        <v>94</v>
      </c>
      <c r="C241" s="2" t="s">
        <v>33</v>
      </c>
      <c r="D241" s="2" t="s">
        <v>28</v>
      </c>
      <c r="E241" s="2">
        <v>27</v>
      </c>
      <c r="F241" s="2">
        <v>10</v>
      </c>
      <c r="G241" s="26" t="s">
        <v>95</v>
      </c>
      <c r="H241" s="2">
        <v>270</v>
      </c>
      <c r="J241" s="9" t="str">
        <f t="shared" ca="1" si="4"/>
        <v/>
      </c>
    </row>
    <row r="242" spans="1:10" x14ac:dyDescent="0.3">
      <c r="A242" s="2">
        <v>1041</v>
      </c>
      <c r="B242" s="2" t="s">
        <v>96</v>
      </c>
      <c r="C242" s="2" t="s">
        <v>24</v>
      </c>
      <c r="D242" s="2" t="s">
        <v>31</v>
      </c>
      <c r="E242" s="2">
        <v>21</v>
      </c>
      <c r="F242" s="2">
        <v>25</v>
      </c>
      <c r="G242" s="26" t="s">
        <v>97</v>
      </c>
      <c r="H242" s="2">
        <v>525</v>
      </c>
      <c r="J242" s="9" t="str">
        <f t="shared" ca="1" si="4"/>
        <v/>
      </c>
    </row>
    <row r="243" spans="1:10" x14ac:dyDescent="0.3">
      <c r="A243" s="2">
        <v>1042</v>
      </c>
      <c r="B243" s="2" t="s">
        <v>98</v>
      </c>
      <c r="C243" s="2" t="s">
        <v>27</v>
      </c>
      <c r="D243" s="2" t="s">
        <v>35</v>
      </c>
      <c r="E243" s="2">
        <v>30</v>
      </c>
      <c r="F243" s="2">
        <v>5</v>
      </c>
      <c r="G243" s="26" t="s">
        <v>99</v>
      </c>
      <c r="H243" s="2">
        <v>150</v>
      </c>
      <c r="J243" s="9" t="str">
        <f t="shared" ca="1" si="4"/>
        <v/>
      </c>
    </row>
    <row r="244" spans="1:10" x14ac:dyDescent="0.3">
      <c r="A244" s="2">
        <v>1043</v>
      </c>
      <c r="B244" s="2" t="s">
        <v>100</v>
      </c>
      <c r="C244" s="2" t="s">
        <v>30</v>
      </c>
      <c r="D244" s="2" t="s">
        <v>38</v>
      </c>
      <c r="E244" s="2">
        <v>26</v>
      </c>
      <c r="F244" s="2">
        <v>8</v>
      </c>
      <c r="G244" s="26">
        <v>45294</v>
      </c>
      <c r="H244" s="2">
        <v>208</v>
      </c>
      <c r="J244" s="9" t="str">
        <f t="shared" ca="1" si="4"/>
        <v/>
      </c>
    </row>
    <row r="245" spans="1:10" x14ac:dyDescent="0.3">
      <c r="A245" s="2">
        <v>1044</v>
      </c>
      <c r="B245" s="2" t="s">
        <v>101</v>
      </c>
      <c r="C245" s="2" t="s">
        <v>33</v>
      </c>
      <c r="D245" s="2" t="s">
        <v>25</v>
      </c>
      <c r="E245" s="2">
        <v>14</v>
      </c>
      <c r="F245" s="2">
        <v>50</v>
      </c>
      <c r="G245" s="26">
        <v>45325</v>
      </c>
      <c r="H245" s="2">
        <v>700</v>
      </c>
      <c r="J245" s="9" t="str">
        <f t="shared" ca="1" si="4"/>
        <v/>
      </c>
    </row>
    <row r="246" spans="1:10" x14ac:dyDescent="0.3">
      <c r="A246" s="2">
        <v>1045</v>
      </c>
      <c r="B246" s="2" t="s">
        <v>102</v>
      </c>
      <c r="C246" s="2" t="s">
        <v>24</v>
      </c>
      <c r="D246" s="2" t="s">
        <v>28</v>
      </c>
      <c r="E246" s="2">
        <v>20</v>
      </c>
      <c r="F246" s="2">
        <v>10</v>
      </c>
      <c r="G246" s="26">
        <v>45354</v>
      </c>
      <c r="H246" s="2">
        <v>200</v>
      </c>
      <c r="J246" s="9" t="str">
        <f t="shared" ca="1" si="4"/>
        <v/>
      </c>
    </row>
    <row r="247" spans="1:10" x14ac:dyDescent="0.3">
      <c r="A247" s="2">
        <v>1046</v>
      </c>
      <c r="B247" s="2" t="s">
        <v>103</v>
      </c>
      <c r="C247" s="2" t="s">
        <v>27</v>
      </c>
      <c r="D247" s="2" t="s">
        <v>31</v>
      </c>
      <c r="E247" s="2">
        <v>17</v>
      </c>
      <c r="F247" s="2">
        <v>25</v>
      </c>
      <c r="G247" s="26">
        <v>45385</v>
      </c>
      <c r="H247" s="2">
        <v>425</v>
      </c>
      <c r="J247" s="9" t="str">
        <f t="shared" ca="1" si="4"/>
        <v/>
      </c>
    </row>
    <row r="248" spans="1:10" x14ac:dyDescent="0.3">
      <c r="A248" s="2">
        <v>1047</v>
      </c>
      <c r="B248" s="2" t="s">
        <v>104</v>
      </c>
      <c r="C248" s="2" t="s">
        <v>30</v>
      </c>
      <c r="D248" s="2" t="s">
        <v>35</v>
      </c>
      <c r="E248" s="2">
        <v>19</v>
      </c>
      <c r="F248" s="2">
        <v>5</v>
      </c>
      <c r="G248" s="26">
        <v>45415</v>
      </c>
      <c r="H248" s="2">
        <v>95</v>
      </c>
      <c r="J248" s="9" t="str">
        <f t="shared" ca="1" si="4"/>
        <v/>
      </c>
    </row>
    <row r="249" spans="1:10" x14ac:dyDescent="0.3">
      <c r="A249" s="2">
        <v>1048</v>
      </c>
      <c r="B249" s="2" t="s">
        <v>105</v>
      </c>
      <c r="C249" s="2" t="s">
        <v>33</v>
      </c>
      <c r="D249" s="2" t="s">
        <v>38</v>
      </c>
      <c r="E249" s="2">
        <v>32</v>
      </c>
      <c r="F249" s="2">
        <v>8</v>
      </c>
      <c r="G249" s="26">
        <v>45446</v>
      </c>
      <c r="H249" s="2">
        <v>256</v>
      </c>
      <c r="J249" s="9" t="str">
        <f t="shared" ca="1" si="4"/>
        <v/>
      </c>
    </row>
    <row r="250" spans="1:10" x14ac:dyDescent="0.3">
      <c r="A250" s="2">
        <v>1049</v>
      </c>
      <c r="B250" s="2" t="s">
        <v>106</v>
      </c>
      <c r="C250" s="2" t="s">
        <v>24</v>
      </c>
      <c r="D250" s="2" t="s">
        <v>25</v>
      </c>
      <c r="E250" s="2">
        <v>12</v>
      </c>
      <c r="F250" s="2">
        <v>50</v>
      </c>
      <c r="G250" s="26">
        <v>45476</v>
      </c>
      <c r="H250" s="2">
        <v>600</v>
      </c>
      <c r="J250" s="9" t="str">
        <f t="shared" ca="1" si="4"/>
        <v/>
      </c>
    </row>
    <row r="251" spans="1:10" x14ac:dyDescent="0.3">
      <c r="A251" s="2">
        <v>1050</v>
      </c>
      <c r="B251" s="2" t="s">
        <v>107</v>
      </c>
      <c r="C251" s="2" t="s">
        <v>27</v>
      </c>
      <c r="D251" s="2" t="s">
        <v>28</v>
      </c>
      <c r="E251" s="2">
        <v>25</v>
      </c>
      <c r="F251" s="2">
        <v>10</v>
      </c>
      <c r="G251" s="26">
        <v>45507</v>
      </c>
      <c r="H251" s="2">
        <v>250</v>
      </c>
      <c r="J251" s="9" t="str">
        <f t="shared" ca="1" si="4"/>
        <v/>
      </c>
    </row>
    <row r="252" spans="1:10" x14ac:dyDescent="0.3">
      <c r="J252" s="9" t="str">
        <f t="shared" ca="1" si="4"/>
        <v/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Prem Gupta</cp:lastModifiedBy>
  <cp:lastPrinted>2026-01-06T18:03:51Z</cp:lastPrinted>
  <dcterms:created xsi:type="dcterms:W3CDTF">2015-06-05T18:17:20Z</dcterms:created>
  <dcterms:modified xsi:type="dcterms:W3CDTF">2026-01-09T14:36:52Z</dcterms:modified>
</cp:coreProperties>
</file>